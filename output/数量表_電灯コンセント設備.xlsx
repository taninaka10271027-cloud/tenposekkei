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量総括表" sheetId="1" state="visible" r:id="rId1"/>
    <sheet name="室別内訳" sheetId="2" state="visible" r:id="rId2"/>
    <sheet name="配線数量内訳" sheetId="3" state="visible" r:id="rId3"/>
    <sheet name="分電盤回路表" sheetId="4" state="visible" r:id="rId4"/>
    <sheet name="照度計算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游ゴシック"/>
      <b val="1"/>
      <sz val="14"/>
    </font>
    <font>
      <name val="游ゴシック"/>
      <color rgb="00555555"/>
      <sz val="9"/>
    </font>
    <font>
      <name val="游ゴシック"/>
      <b val="1"/>
      <sz val="10"/>
    </font>
    <font>
      <name val="游ゴシック"/>
      <sz val="10"/>
    </font>
    <font>
      <name val="游ゴシック"/>
      <b val="1"/>
      <sz val="1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52" customWidth="1" min="4" max="4"/>
    <col width="6" customWidth="1" min="5" max="5"/>
    <col width="10" customWidth="1" min="6" max="6"/>
    <col width="11" customWidth="1" min="7" max="7"/>
    <col width="9" customWidth="1" min="8" max="8"/>
    <col width="28" customWidth="1" min="9" max="9"/>
  </cols>
  <sheetData>
    <row r="1">
      <c r="A1" s="1" t="inlineStr">
        <is>
          <t>数量総括表　電灯・コンセント設備（1階 飲食店・事務所 複合店舗）</t>
        </is>
      </c>
    </row>
    <row r="2">
      <c r="A2" s="2" t="inlineStr">
        <is>
          <t>電灯・コンセント設備平面図（1/50）より拾い出し。ケーブルは平面長＋立上下り＋余長10%。2026-10-04</t>
        </is>
      </c>
    </row>
    <row r="4">
      <c r="A4" s="3" t="inlineStr">
        <is>
          <t>No</t>
        </is>
      </c>
      <c r="B4" s="3" t="inlineStr">
        <is>
          <t>区分</t>
        </is>
      </c>
      <c r="C4" s="3" t="inlineStr">
        <is>
          <t>品名</t>
        </is>
      </c>
      <c r="D4" s="3" t="inlineStr">
        <is>
          <t>仕様</t>
        </is>
      </c>
      <c r="E4" s="3" t="inlineStr">
        <is>
          <t>単位</t>
        </is>
      </c>
      <c r="F4" s="3" t="inlineStr">
        <is>
          <t>店舗 L-1</t>
        </is>
      </c>
      <c r="G4" s="3" t="inlineStr">
        <is>
          <t>事務所 L-2</t>
        </is>
      </c>
      <c r="H4" s="3" t="inlineStr">
        <is>
          <t>合計</t>
        </is>
      </c>
      <c r="I4" s="3" t="inlineStr">
        <is>
          <t>備考</t>
        </is>
      </c>
    </row>
    <row r="5">
      <c r="A5" s="4" t="n">
        <v>1</v>
      </c>
      <c r="B5" s="4" t="inlineStr">
        <is>
          <t>分電盤</t>
        </is>
      </c>
      <c r="C5" s="4" t="inlineStr">
        <is>
          <t>事務所用分電盤 L-2</t>
        </is>
      </c>
      <c r="D5" s="5" t="inlineStr">
        <is>
          <t>主幹 MCCB 3P 50AF/40AT / 分岐 ELB×0・MCB×8（8回路）</t>
        </is>
      </c>
      <c r="E5" s="4" t="inlineStr">
        <is>
          <t>面</t>
        </is>
      </c>
      <c r="F5" s="4" t="n"/>
      <c r="G5" s="4" t="n">
        <v>1</v>
      </c>
      <c r="H5" s="4">
        <f>SUM(F5:G5)</f>
        <v/>
      </c>
      <c r="I5" s="4" t="inlineStr"/>
    </row>
    <row r="6">
      <c r="A6" s="4" t="n">
        <v>2</v>
      </c>
      <c r="B6" s="4" t="inlineStr">
        <is>
          <t>分電盤</t>
        </is>
      </c>
      <c r="C6" s="4" t="inlineStr">
        <is>
          <t>店舗用分電盤 L-1</t>
        </is>
      </c>
      <c r="D6" s="5" t="inlineStr">
        <is>
          <t>主幹 MCCB 3P 60AF/60AT / 分岐 ELB×9・MCB×11（20回路）</t>
        </is>
      </c>
      <c r="E6" s="4" t="inlineStr">
        <is>
          <t>面</t>
        </is>
      </c>
      <c r="F6" s="4" t="n">
        <v>1</v>
      </c>
      <c r="G6" s="4" t="n"/>
      <c r="H6" s="4">
        <f>SUM(F6:G6)</f>
        <v/>
      </c>
      <c r="I6" s="4" t="inlineStr"/>
    </row>
    <row r="7">
      <c r="A7" s="4" t="n">
        <v>3</v>
      </c>
      <c r="B7" s="4" t="inlineStr">
        <is>
          <t>器具・配線器具</t>
        </is>
      </c>
      <c r="C7" s="4" t="inlineStr">
        <is>
          <t>3路スイッチ</t>
        </is>
      </c>
      <c r="D7" s="4" t="inlineStr">
        <is>
          <t>15A 埋込 FL+1,300</t>
        </is>
      </c>
      <c r="E7" s="4" t="inlineStr">
        <is>
          <t>個</t>
        </is>
      </c>
      <c r="F7" s="4" t="n">
        <v>2</v>
      </c>
      <c r="G7" s="4" t="n"/>
      <c r="H7" s="4">
        <f>SUM(F7:G7)</f>
        <v/>
      </c>
      <c r="I7" s="4" t="inlineStr"/>
    </row>
    <row r="8">
      <c r="A8" s="4" t="n">
        <v>4</v>
      </c>
      <c r="B8" s="4" t="inlineStr">
        <is>
          <t>器具・配線器具</t>
        </is>
      </c>
      <c r="C8" s="4" t="inlineStr">
        <is>
          <t>LEDダウンライト</t>
        </is>
      </c>
      <c r="D8" s="4" t="inlineStr">
        <is>
          <t>φ100 埋込 1,000lm 電球色 約8.5W</t>
        </is>
      </c>
      <c r="E8" s="4" t="inlineStr">
        <is>
          <t>台</t>
        </is>
      </c>
      <c r="F8" s="4" t="n">
        <v>40</v>
      </c>
      <c r="G8" s="4" t="n"/>
      <c r="H8" s="4">
        <f>SUM(F8:G8)</f>
        <v/>
      </c>
      <c r="I8" s="4" t="inlineStr"/>
    </row>
    <row r="9">
      <c r="A9" s="4" t="n">
        <v>5</v>
      </c>
      <c r="B9" s="4" t="inlineStr">
        <is>
          <t>器具・配線器具</t>
        </is>
      </c>
      <c r="C9" s="4" t="inlineStr">
        <is>
          <t>LEDベースライト</t>
        </is>
      </c>
      <c r="D9" s="4" t="inlineStr">
        <is>
          <t>40形 逆富士 直付 6,900lm 昼白色 約45W</t>
        </is>
      </c>
      <c r="E9" s="4" t="inlineStr">
        <is>
          <t>台</t>
        </is>
      </c>
      <c r="F9" s="4" t="n">
        <v>5</v>
      </c>
      <c r="G9" s="4" t="n">
        <v>6</v>
      </c>
      <c r="H9" s="4">
        <f>SUM(F9:G9)</f>
        <v/>
      </c>
      <c r="I9" s="4" t="inlineStr"/>
    </row>
    <row r="10">
      <c r="A10" s="4" t="n">
        <v>6</v>
      </c>
      <c r="B10" s="4" t="inlineStr">
        <is>
          <t>器具・配線器具</t>
        </is>
      </c>
      <c r="C10" s="4" t="inlineStr">
        <is>
          <t>コンセント</t>
        </is>
      </c>
      <c r="D10" s="4" t="inlineStr">
        <is>
          <t>2口コンセント 15A125V FL+300</t>
        </is>
      </c>
      <c r="E10" s="4" t="inlineStr">
        <is>
          <t>個</t>
        </is>
      </c>
      <c r="F10" s="4" t="n">
        <v>10</v>
      </c>
      <c r="G10" s="4" t="n">
        <v>2</v>
      </c>
      <c r="H10" s="4">
        <f>SUM(F10:G10)</f>
        <v/>
      </c>
      <c r="I10" s="4" t="inlineStr"/>
    </row>
    <row r="11">
      <c r="A11" s="4" t="n">
        <v>7</v>
      </c>
      <c r="B11" s="4" t="inlineStr">
        <is>
          <t>器具・配線器具</t>
        </is>
      </c>
      <c r="C11" s="4" t="inlineStr">
        <is>
          <t>コンセント</t>
        </is>
      </c>
      <c r="D11" s="4" t="inlineStr">
        <is>
          <t>2口コンセント 接地極付 15A125V FL+300</t>
        </is>
      </c>
      <c r="E11" s="4" t="inlineStr">
        <is>
          <t>個</t>
        </is>
      </c>
      <c r="F11" s="4" t="n">
        <v>2</v>
      </c>
      <c r="G11" s="4" t="n"/>
      <c r="H11" s="4">
        <f>SUM(F11:G11)</f>
        <v/>
      </c>
      <c r="I11" s="4" t="inlineStr"/>
    </row>
    <row r="12">
      <c r="A12" s="4" t="n">
        <v>8</v>
      </c>
      <c r="B12" s="4" t="inlineStr">
        <is>
          <t>器具・配線器具</t>
        </is>
      </c>
      <c r="C12" s="4" t="inlineStr">
        <is>
          <t>コンセント</t>
        </is>
      </c>
      <c r="D12" s="5" t="inlineStr">
        <is>
          <t>2口コンセント 接地極付 15A125V（OA専用） FL+300</t>
        </is>
      </c>
      <c r="E12" s="4" t="inlineStr">
        <is>
          <t>個</t>
        </is>
      </c>
      <c r="F12" s="4" t="n"/>
      <c r="G12" s="4" t="n">
        <v>4</v>
      </c>
      <c r="H12" s="4">
        <f>SUM(F12:G12)</f>
        <v/>
      </c>
      <c r="I12" s="4" t="inlineStr"/>
    </row>
    <row r="13">
      <c r="A13" s="4" t="n">
        <v>9</v>
      </c>
      <c r="B13" s="4" t="inlineStr">
        <is>
          <t>器具・配線器具</t>
        </is>
      </c>
      <c r="C13" s="4" t="inlineStr">
        <is>
          <t>コンセント</t>
        </is>
      </c>
      <c r="D13" s="4" t="inlineStr">
        <is>
          <t>コンセント 接地極付 20A125V（専用） FL+300</t>
        </is>
      </c>
      <c r="E13" s="4" t="inlineStr">
        <is>
          <t>個</t>
        </is>
      </c>
      <c r="F13" s="4" t="n">
        <v>3</v>
      </c>
      <c r="G13" s="4" t="n"/>
      <c r="H13" s="4">
        <f>SUM(F13:G13)</f>
        <v/>
      </c>
      <c r="I13" s="4" t="inlineStr"/>
    </row>
    <row r="14">
      <c r="A14" s="4" t="n">
        <v>10</v>
      </c>
      <c r="B14" s="4" t="inlineStr">
        <is>
          <t>器具・配線器具</t>
        </is>
      </c>
      <c r="C14" s="4" t="inlineStr">
        <is>
          <t>コンセント</t>
        </is>
      </c>
      <c r="D14" s="4" t="inlineStr">
        <is>
          <t>コンセント 接地極付 20A250V（専用） FL+300</t>
        </is>
      </c>
      <c r="E14" s="4" t="inlineStr">
        <is>
          <t>個</t>
        </is>
      </c>
      <c r="F14" s="4" t="n">
        <v>2</v>
      </c>
      <c r="G14" s="4" t="n"/>
      <c r="H14" s="4">
        <f>SUM(F14:G14)</f>
        <v/>
      </c>
      <c r="I14" s="4" t="inlineStr"/>
    </row>
    <row r="15">
      <c r="A15" s="4" t="n">
        <v>11</v>
      </c>
      <c r="B15" s="4" t="inlineStr">
        <is>
          <t>器具・配線器具</t>
        </is>
      </c>
      <c r="C15" s="4" t="inlineStr">
        <is>
          <t>コンセント</t>
        </is>
      </c>
      <c r="D15" s="5" t="inlineStr">
        <is>
          <t>コンセント 接地極付接地端子付 15A125V（温水洗浄便座用） FL+300</t>
        </is>
      </c>
      <c r="E15" s="4" t="inlineStr">
        <is>
          <t>個</t>
        </is>
      </c>
      <c r="F15" s="4" t="n">
        <v>2</v>
      </c>
      <c r="G15" s="4" t="n"/>
      <c r="H15" s="4">
        <f>SUM(F15:G15)</f>
        <v/>
      </c>
      <c r="I15" s="4" t="inlineStr"/>
    </row>
    <row r="16">
      <c r="A16" s="4" t="n">
        <v>12</v>
      </c>
      <c r="B16" s="4" t="inlineStr">
        <is>
          <t>器具・配線器具</t>
        </is>
      </c>
      <c r="C16" s="4" t="inlineStr">
        <is>
          <t>コンセント</t>
        </is>
      </c>
      <c r="D16" s="5" t="inlineStr">
        <is>
          <t>防雨形コンセント 接地極付 15A125V（専用） FL+300</t>
        </is>
      </c>
      <c r="E16" s="4" t="inlineStr">
        <is>
          <t>個</t>
        </is>
      </c>
      <c r="F16" s="4" t="n">
        <v>1</v>
      </c>
      <c r="G16" s="4" t="n"/>
      <c r="H16" s="4">
        <f>SUM(F16:G16)</f>
        <v/>
      </c>
      <c r="I16" s="4" t="inlineStr"/>
    </row>
    <row r="17">
      <c r="A17" s="4" t="n">
        <v>13</v>
      </c>
      <c r="B17" s="4" t="inlineStr">
        <is>
          <t>器具・配線器具</t>
        </is>
      </c>
      <c r="C17" s="4" t="inlineStr">
        <is>
          <t>片切スイッチ</t>
        </is>
      </c>
      <c r="D17" s="4" t="inlineStr">
        <is>
          <t>15A 埋込 FL+1,300</t>
        </is>
      </c>
      <c r="E17" s="4" t="inlineStr">
        <is>
          <t>個</t>
        </is>
      </c>
      <c r="F17" s="4" t="n">
        <v>6</v>
      </c>
      <c r="G17" s="4" t="n">
        <v>2</v>
      </c>
      <c r="H17" s="4">
        <f>SUM(F17:G17)</f>
        <v/>
      </c>
      <c r="I17" s="4" t="inlineStr"/>
    </row>
    <row r="18">
      <c r="A18" s="4" t="n">
        <v>14</v>
      </c>
      <c r="B18" s="4" t="inlineStr">
        <is>
          <t>器具・配線器具</t>
        </is>
      </c>
      <c r="C18" s="4" t="inlineStr">
        <is>
          <t>確認表示灯内蔵スイッチ</t>
        </is>
      </c>
      <c r="D18" s="4" t="inlineStr">
        <is>
          <t>15A 埋込 FL+1,300（便所）</t>
        </is>
      </c>
      <c r="E18" s="4" t="inlineStr">
        <is>
          <t>個</t>
        </is>
      </c>
      <c r="F18" s="4" t="n">
        <v>2</v>
      </c>
      <c r="G18" s="4" t="n"/>
      <c r="H18" s="4">
        <f>SUM(F18:G18)</f>
        <v/>
      </c>
      <c r="I18" s="4" t="inlineStr"/>
    </row>
    <row r="19">
      <c r="A19" s="4" t="n">
        <v>15</v>
      </c>
      <c r="B19" s="4" t="inlineStr">
        <is>
          <t>ボックス・プレート</t>
        </is>
      </c>
      <c r="C19" s="4" t="inlineStr">
        <is>
          <t>コンセントプレート</t>
        </is>
      </c>
      <c r="D19" s="4" t="inlineStr">
        <is>
          <t>1口用</t>
        </is>
      </c>
      <c r="E19" s="4" t="inlineStr">
        <is>
          <t>枚</t>
        </is>
      </c>
      <c r="F19" s="4" t="n">
        <v>7</v>
      </c>
      <c r="G19" s="4" t="n"/>
      <c r="H19" s="4">
        <f>SUM(F19:G19)</f>
        <v/>
      </c>
      <c r="I19" s="4" t="inlineStr"/>
    </row>
    <row r="20">
      <c r="A20" s="4" t="n">
        <v>16</v>
      </c>
      <c r="B20" s="4" t="inlineStr">
        <is>
          <t>ボックス・プレート</t>
        </is>
      </c>
      <c r="C20" s="4" t="inlineStr">
        <is>
          <t>コンセントプレート</t>
        </is>
      </c>
      <c r="D20" s="4" t="inlineStr">
        <is>
          <t>2口用</t>
        </is>
      </c>
      <c r="E20" s="4" t="inlineStr">
        <is>
          <t>枚</t>
        </is>
      </c>
      <c r="F20" s="4" t="n">
        <v>12</v>
      </c>
      <c r="G20" s="4" t="n">
        <v>6</v>
      </c>
      <c r="H20" s="4">
        <f>SUM(F20:G20)</f>
        <v/>
      </c>
      <c r="I20" s="4" t="inlineStr"/>
    </row>
    <row r="21">
      <c r="A21" s="4" t="n">
        <v>17</v>
      </c>
      <c r="B21" s="4" t="inlineStr">
        <is>
          <t>ボックス・プレート</t>
        </is>
      </c>
      <c r="C21" s="4" t="inlineStr">
        <is>
          <t>ジョイントボックス</t>
        </is>
      </c>
      <c r="D21" s="4" t="inlineStr">
        <is>
          <t>VVF用 天井内</t>
        </is>
      </c>
      <c r="E21" s="4" t="inlineStr">
        <is>
          <t>個</t>
        </is>
      </c>
      <c r="F21" s="4" t="n">
        <v>15</v>
      </c>
      <c r="G21" s="4" t="n">
        <v>1</v>
      </c>
      <c r="H21" s="4">
        <f>SUM(F21:G21)</f>
        <v/>
      </c>
      <c r="I21" s="4" t="inlineStr">
        <is>
          <t>分岐点数（差込形コネクタは一式）</t>
        </is>
      </c>
    </row>
    <row r="22">
      <c r="A22" s="4" t="n">
        <v>18</v>
      </c>
      <c r="B22" s="4" t="inlineStr">
        <is>
          <t>ボックス・プレート</t>
        </is>
      </c>
      <c r="C22" s="4" t="inlineStr">
        <is>
          <t>スイッチプレート</t>
        </is>
      </c>
      <c r="D22" s="4" t="inlineStr">
        <is>
          <t>1口用</t>
        </is>
      </c>
      <c r="E22" s="4" t="inlineStr">
        <is>
          <t>枚</t>
        </is>
      </c>
      <c r="F22" s="4" t="n">
        <v>5</v>
      </c>
      <c r="G22" s="4" t="n"/>
      <c r="H22" s="4">
        <f>SUM(F22:G22)</f>
        <v/>
      </c>
      <c r="I22" s="4" t="inlineStr"/>
    </row>
    <row r="23">
      <c r="A23" s="4" t="n">
        <v>19</v>
      </c>
      <c r="B23" s="4" t="inlineStr">
        <is>
          <t>ボックス・プレート</t>
        </is>
      </c>
      <c r="C23" s="4" t="inlineStr">
        <is>
          <t>スイッチプレート</t>
        </is>
      </c>
      <c r="D23" s="4" t="inlineStr">
        <is>
          <t>2口用</t>
        </is>
      </c>
      <c r="E23" s="4" t="inlineStr">
        <is>
          <t>枚</t>
        </is>
      </c>
      <c r="F23" s="4" t="n">
        <v>1</v>
      </c>
      <c r="G23" s="4" t="n">
        <v>1</v>
      </c>
      <c r="H23" s="4">
        <f>SUM(F23:G23)</f>
        <v/>
      </c>
      <c r="I23" s="4" t="inlineStr"/>
    </row>
    <row r="24">
      <c r="A24" s="4" t="n">
        <v>20</v>
      </c>
      <c r="B24" s="4" t="inlineStr">
        <is>
          <t>ボックス・プレート</t>
        </is>
      </c>
      <c r="C24" s="4" t="inlineStr">
        <is>
          <t>スイッチプレート</t>
        </is>
      </c>
      <c r="D24" s="4" t="inlineStr">
        <is>
          <t>3口用</t>
        </is>
      </c>
      <c r="E24" s="4" t="inlineStr">
        <is>
          <t>枚</t>
        </is>
      </c>
      <c r="F24" s="4" t="n">
        <v>1</v>
      </c>
      <c r="G24" s="4" t="n"/>
      <c r="H24" s="4">
        <f>SUM(F24:G24)</f>
        <v/>
      </c>
      <c r="I24" s="4" t="inlineStr"/>
    </row>
    <row r="25">
      <c r="A25" s="4" t="n">
        <v>21</v>
      </c>
      <c r="B25" s="4" t="inlineStr">
        <is>
          <t>ボックス・プレート</t>
        </is>
      </c>
      <c r="C25" s="4" t="inlineStr">
        <is>
          <t>スイッチボックス</t>
        </is>
      </c>
      <c r="D25" s="4" t="inlineStr">
        <is>
          <t>1個用（1連）</t>
        </is>
      </c>
      <c r="E25" s="4" t="inlineStr">
        <is>
          <t>個</t>
        </is>
      </c>
      <c r="F25" s="4" t="n">
        <v>5</v>
      </c>
      <c r="G25" s="4" t="n"/>
      <c r="H25" s="4">
        <f>SUM(F25:G25)</f>
        <v/>
      </c>
      <c r="I25" s="4" t="inlineStr"/>
    </row>
    <row r="26">
      <c r="A26" s="4" t="n">
        <v>22</v>
      </c>
      <c r="B26" s="4" t="inlineStr">
        <is>
          <t>ボックス・プレート</t>
        </is>
      </c>
      <c r="C26" s="4" t="inlineStr">
        <is>
          <t>スイッチボックス</t>
        </is>
      </c>
      <c r="D26" s="4" t="inlineStr">
        <is>
          <t>1個用（2連）</t>
        </is>
      </c>
      <c r="E26" s="4" t="inlineStr">
        <is>
          <t>個</t>
        </is>
      </c>
      <c r="F26" s="4" t="n">
        <v>1</v>
      </c>
      <c r="G26" s="4" t="n">
        <v>1</v>
      </c>
      <c r="H26" s="4">
        <f>SUM(F26:G26)</f>
        <v/>
      </c>
      <c r="I26" s="4" t="inlineStr"/>
    </row>
    <row r="27">
      <c r="A27" s="4" t="n">
        <v>23</v>
      </c>
      <c r="B27" s="4" t="inlineStr">
        <is>
          <t>ボックス・プレート</t>
        </is>
      </c>
      <c r="C27" s="4" t="inlineStr">
        <is>
          <t>スイッチボックス</t>
        </is>
      </c>
      <c r="D27" s="4" t="inlineStr">
        <is>
          <t>1個用（3連）</t>
        </is>
      </c>
      <c r="E27" s="4" t="inlineStr">
        <is>
          <t>個</t>
        </is>
      </c>
      <c r="F27" s="4" t="n">
        <v>1</v>
      </c>
      <c r="G27" s="4" t="n"/>
      <c r="H27" s="4">
        <f>SUM(F27:G27)</f>
        <v/>
      </c>
      <c r="I27" s="4" t="inlineStr"/>
    </row>
    <row r="28">
      <c r="A28" s="4" t="n">
        <v>24</v>
      </c>
      <c r="B28" s="4" t="inlineStr">
        <is>
          <t>ボックス・プレート</t>
        </is>
      </c>
      <c r="C28" s="4" t="inlineStr">
        <is>
          <t>スイッチボックス</t>
        </is>
      </c>
      <c r="D28" s="4" t="inlineStr">
        <is>
          <t>1個用（コンセント）</t>
        </is>
      </c>
      <c r="E28" s="4" t="inlineStr">
        <is>
          <t>個</t>
        </is>
      </c>
      <c r="F28" s="4" t="n">
        <v>19</v>
      </c>
      <c r="G28" s="4" t="n">
        <v>6</v>
      </c>
      <c r="H28" s="4">
        <f>SUM(F28:G28)</f>
        <v/>
      </c>
      <c r="I28" s="4" t="inlineStr"/>
    </row>
    <row r="29">
      <c r="A29" s="4" t="n">
        <v>25</v>
      </c>
      <c r="B29" s="4" t="inlineStr">
        <is>
          <t>ボックス・プレート</t>
        </is>
      </c>
      <c r="C29" s="4" t="inlineStr">
        <is>
          <t>防雨形ボックス</t>
        </is>
      </c>
      <c r="D29" s="4" t="inlineStr">
        <is>
          <t>コンセント用</t>
        </is>
      </c>
      <c r="E29" s="4" t="inlineStr">
        <is>
          <t>個</t>
        </is>
      </c>
      <c r="F29" s="4" t="n">
        <v>1</v>
      </c>
      <c r="G29" s="4" t="n"/>
      <c r="H29" s="4">
        <f>SUM(F29:G29)</f>
        <v/>
      </c>
      <c r="I29" s="4" t="inlineStr"/>
    </row>
    <row r="30">
      <c r="A30" s="4" t="n">
        <v>26</v>
      </c>
      <c r="B30" s="4" t="inlineStr">
        <is>
          <t>ケーブル</t>
        </is>
      </c>
      <c r="C30" s="4" t="inlineStr">
        <is>
          <t>VVF1.6-2C</t>
        </is>
      </c>
      <c r="D30" s="4" t="inlineStr">
        <is>
          <t>600V ビニル絶縁ビニルシースケーブル平形</t>
        </is>
      </c>
      <c r="E30" s="4" t="inlineStr">
        <is>
          <t>m</t>
        </is>
      </c>
      <c r="F30" s="4" t="n">
        <v>147</v>
      </c>
      <c r="G30" s="4" t="n">
        <v>21</v>
      </c>
      <c r="H30" s="4">
        <f>SUM(F30:G30)</f>
        <v/>
      </c>
      <c r="I30" s="4" t="inlineStr"/>
    </row>
    <row r="31">
      <c r="A31" s="4" t="n">
        <v>27</v>
      </c>
      <c r="B31" s="4" t="inlineStr">
        <is>
          <t>ケーブル</t>
        </is>
      </c>
      <c r="C31" s="4" t="inlineStr">
        <is>
          <t>VVF1.6-3C</t>
        </is>
      </c>
      <c r="D31" s="4" t="inlineStr">
        <is>
          <t>600V ビニル絶縁ビニルシースケーブル平形</t>
        </is>
      </c>
      <c r="E31" s="4" t="inlineStr">
        <is>
          <t>m</t>
        </is>
      </c>
      <c r="F31" s="4" t="n">
        <v>5</v>
      </c>
      <c r="G31" s="4" t="n"/>
      <c r="H31" s="4">
        <f>SUM(F31:G31)</f>
        <v/>
      </c>
      <c r="I31" s="4" t="inlineStr"/>
    </row>
    <row r="32">
      <c r="A32" s="4" t="n">
        <v>28</v>
      </c>
      <c r="B32" s="4" t="inlineStr">
        <is>
          <t>ケーブル</t>
        </is>
      </c>
      <c r="C32" s="4" t="inlineStr">
        <is>
          <t>VVF2.0-2C</t>
        </is>
      </c>
      <c r="D32" s="4" t="inlineStr">
        <is>
          <t>600V ビニル絶縁ビニルシースケーブル平形</t>
        </is>
      </c>
      <c r="E32" s="4" t="inlineStr">
        <is>
          <t>m</t>
        </is>
      </c>
      <c r="F32" s="4" t="n">
        <v>101</v>
      </c>
      <c r="G32" s="4" t="n">
        <v>16</v>
      </c>
      <c r="H32" s="4">
        <f>SUM(F32:G32)</f>
        <v/>
      </c>
      <c r="I32" s="4" t="inlineStr"/>
    </row>
    <row r="33">
      <c r="A33" s="4" t="n">
        <v>29</v>
      </c>
      <c r="B33" s="4" t="inlineStr">
        <is>
          <t>ケーブル</t>
        </is>
      </c>
      <c r="C33" s="4" t="inlineStr">
        <is>
          <t>VVF2.0-3C</t>
        </is>
      </c>
      <c r="D33" s="4" t="inlineStr">
        <is>
          <t>600V ビニル絶縁ビニルシースケーブル平形</t>
        </is>
      </c>
      <c r="E33" s="4" t="inlineStr">
        <is>
          <t>m</t>
        </is>
      </c>
      <c r="F33" s="4" t="n">
        <v>200</v>
      </c>
      <c r="G33" s="4" t="n">
        <v>35</v>
      </c>
      <c r="H33" s="4">
        <f>SUM(F33:G33)</f>
        <v/>
      </c>
      <c r="I33" s="4" t="inlineStr"/>
    </row>
    <row r="34">
      <c r="A34" s="4" t="n">
        <v>30</v>
      </c>
      <c r="B34" s="4" t="inlineStr">
        <is>
          <t>幹線</t>
        </is>
      </c>
      <c r="C34" s="4" t="inlineStr">
        <is>
          <t>ニュースラットケーブル</t>
        </is>
      </c>
      <c r="D34" s="4" t="inlineStr">
        <is>
          <t>14sq×3（図示範囲。引込点からは別途加算）</t>
        </is>
      </c>
      <c r="E34" s="4" t="inlineStr">
        <is>
          <t>m</t>
        </is>
      </c>
      <c r="F34" s="4" t="n">
        <v>4</v>
      </c>
      <c r="G34" s="4" t="n"/>
      <c r="H34" s="4">
        <f>SUM(F34:G34)</f>
        <v/>
      </c>
      <c r="I34" s="4" t="inlineStr"/>
    </row>
    <row r="35">
      <c r="A35" s="4" t="n">
        <v>31</v>
      </c>
      <c r="B35" s="4" t="inlineStr">
        <is>
          <t>幹線</t>
        </is>
      </c>
      <c r="C35" s="4" t="inlineStr">
        <is>
          <t>ニュースラットケーブル</t>
        </is>
      </c>
      <c r="D35" s="4" t="inlineStr">
        <is>
          <t>8sq×3（図示範囲。引込点からは別途加算）</t>
        </is>
      </c>
      <c r="E35" s="4" t="inlineStr">
        <is>
          <t>m</t>
        </is>
      </c>
      <c r="F35" s="4" t="n"/>
      <c r="G35" s="4" t="n">
        <v>7</v>
      </c>
      <c r="H35" s="4">
        <f>SUM(F35:G35)</f>
        <v/>
      </c>
      <c r="I35" s="4" t="inlineStr"/>
    </row>
    <row r="36">
      <c r="A36" s="4" t="n"/>
      <c r="B36" s="4" t="inlineStr">
        <is>
          <t>雑材</t>
        </is>
      </c>
      <c r="C36" s="4" t="inlineStr">
        <is>
          <t>差込形コネクタ・ステープル・支持材 等</t>
        </is>
      </c>
      <c r="D36" s="4" t="inlineStr"/>
      <c r="E36" s="4" t="inlineStr">
        <is>
          <t>式</t>
        </is>
      </c>
      <c r="F36" s="4" t="n">
        <v>1</v>
      </c>
      <c r="G36" s="4" t="n">
        <v>1</v>
      </c>
      <c r="H36" s="4">
        <f>SUM(F36:G36)</f>
        <v/>
      </c>
      <c r="I36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室別 器具・配線器具 内訳</t>
        </is>
      </c>
    </row>
    <row r="3" ht="45" customHeight="1">
      <c r="A3" s="3" t="inlineStr">
        <is>
          <t>室名</t>
        </is>
      </c>
      <c r="B3" s="3" t="inlineStr">
        <is>
          <t>3路スイッチ</t>
        </is>
      </c>
      <c r="C3" s="3" t="inlineStr">
        <is>
          <t>LEDダウンライト</t>
        </is>
      </c>
      <c r="D3" s="3" t="inlineStr">
        <is>
          <t>LEDベースライト</t>
        </is>
      </c>
      <c r="E3" s="3" t="inlineStr">
        <is>
          <t>コンセント（2E）</t>
        </is>
      </c>
      <c r="F3" s="3" t="inlineStr">
        <is>
          <t>コンセント（2）</t>
        </is>
      </c>
      <c r="G3" s="3" t="inlineStr">
        <is>
          <t>コンセント（E20A250V）</t>
        </is>
      </c>
      <c r="H3" s="3" t="inlineStr">
        <is>
          <t>コンセント（E20A）</t>
        </is>
      </c>
      <c r="I3" s="3" t="inlineStr">
        <is>
          <t>コンセント（EET）</t>
        </is>
      </c>
      <c r="J3" s="3" t="inlineStr">
        <is>
          <t>コンセント（EWP）</t>
        </is>
      </c>
      <c r="K3" s="3" t="inlineStr">
        <is>
          <t>片切スイッチ</t>
        </is>
      </c>
      <c r="L3" s="3" t="inlineStr">
        <is>
          <t>確認表示灯内蔵スイッチ</t>
        </is>
      </c>
      <c r="M3" s="3" t="inlineStr">
        <is>
          <t>計</t>
        </is>
      </c>
    </row>
    <row r="4">
      <c r="A4" s="4" t="inlineStr">
        <is>
          <t>客席（入口・レジ付近）</t>
        </is>
      </c>
      <c r="B4" s="4" t="n"/>
      <c r="C4" s="4" t="n">
        <v>9</v>
      </c>
      <c r="D4" s="4" t="n"/>
      <c r="E4" s="4" t="n"/>
      <c r="F4" s="4" t="n">
        <v>2</v>
      </c>
      <c r="G4" s="4" t="n"/>
      <c r="H4" s="4" t="n"/>
      <c r="I4" s="4" t="n"/>
      <c r="J4" s="4" t="n"/>
      <c r="K4" s="4" t="n"/>
      <c r="L4" s="4" t="n"/>
      <c r="M4" s="4">
        <f>SUM(B4:L4)</f>
        <v/>
      </c>
    </row>
    <row r="5">
      <c r="A5" s="4" t="inlineStr">
        <is>
          <t>客席（カウンター・通路）</t>
        </is>
      </c>
      <c r="B5" s="4" t="n"/>
      <c r="C5" s="4" t="n">
        <v>9</v>
      </c>
      <c r="D5" s="4" t="n"/>
      <c r="E5" s="4" t="n"/>
      <c r="F5" s="4" t="n">
        <v>2</v>
      </c>
      <c r="G5" s="4" t="n"/>
      <c r="H5" s="4" t="n"/>
      <c r="I5" s="4" t="n"/>
      <c r="J5" s="4" t="n"/>
      <c r="K5" s="4" t="n"/>
      <c r="L5" s="4" t="n"/>
      <c r="M5" s="4">
        <f>SUM(B5:L5)</f>
        <v/>
      </c>
    </row>
    <row r="6">
      <c r="A6" s="4" t="inlineStr">
        <is>
          <t>客席（ボックス席）</t>
        </is>
      </c>
      <c r="B6" s="4" t="n"/>
      <c r="C6" s="4" t="n">
        <v>8</v>
      </c>
      <c r="D6" s="4" t="n"/>
      <c r="E6" s="4" t="n"/>
      <c r="F6" s="4" t="n">
        <v>2</v>
      </c>
      <c r="G6" s="4" t="n"/>
      <c r="H6" s="4" t="n"/>
      <c r="I6" s="4" t="n"/>
      <c r="J6" s="4" t="n"/>
      <c r="K6" s="4" t="n"/>
      <c r="L6" s="4" t="n"/>
      <c r="M6" s="4">
        <f>SUM(B6:L6)</f>
        <v/>
      </c>
    </row>
    <row r="7">
      <c r="A7" s="4" t="inlineStr">
        <is>
          <t>座敷（客席）</t>
        </is>
      </c>
      <c r="B7" s="4" t="n"/>
      <c r="C7" s="4" t="n">
        <v>12</v>
      </c>
      <c r="D7" s="4" t="n"/>
      <c r="E7" s="4" t="n"/>
      <c r="F7" s="4" t="n">
        <v>2</v>
      </c>
      <c r="G7" s="4" t="n"/>
      <c r="H7" s="4" t="n"/>
      <c r="I7" s="4" t="n"/>
      <c r="J7" s="4" t="n"/>
      <c r="K7" s="4" t="n">
        <v>2</v>
      </c>
      <c r="L7" s="4" t="n"/>
      <c r="M7" s="4">
        <f>SUM(B7:L7)</f>
        <v/>
      </c>
    </row>
    <row r="8">
      <c r="A8" s="4" t="inlineStr">
        <is>
          <t>倉庫</t>
        </is>
      </c>
      <c r="B8" s="4" t="n"/>
      <c r="C8" s="4" t="n"/>
      <c r="D8" s="4" t="n">
        <v>2</v>
      </c>
      <c r="E8" s="4" t="n"/>
      <c r="F8" s="4" t="n">
        <v>2</v>
      </c>
      <c r="G8" s="4" t="n"/>
      <c r="H8" s="4" t="n"/>
      <c r="I8" s="4" t="n"/>
      <c r="J8" s="4" t="n"/>
      <c r="K8" s="4" t="n">
        <v>1</v>
      </c>
      <c r="L8" s="4" t="n"/>
      <c r="M8" s="4">
        <f>SUM(B8:L8)</f>
        <v/>
      </c>
    </row>
    <row r="9">
      <c r="A9" s="4" t="inlineStr">
        <is>
          <t>客席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>
        <v>3</v>
      </c>
      <c r="L9" s="4" t="n"/>
      <c r="M9" s="4">
        <f>SUM(B9:L9)</f>
        <v/>
      </c>
    </row>
    <row r="10">
      <c r="A10" s="4" t="inlineStr">
        <is>
          <t>厨房</t>
        </is>
      </c>
      <c r="B10" s="4" t="n">
        <v>2</v>
      </c>
      <c r="C10" s="4" t="n"/>
      <c r="D10" s="4" t="n">
        <v>3</v>
      </c>
      <c r="E10" s="4" t="n">
        <v>2</v>
      </c>
      <c r="F10" s="4" t="n"/>
      <c r="G10" s="4" t="n">
        <v>2</v>
      </c>
      <c r="H10" s="4" t="n">
        <v>3</v>
      </c>
      <c r="I10" s="4" t="n"/>
      <c r="J10" s="4" t="n"/>
      <c r="K10" s="4" t="n"/>
      <c r="L10" s="4" t="n"/>
      <c r="M10" s="4">
        <f>SUM(B10:L10)</f>
        <v/>
      </c>
    </row>
    <row r="11">
      <c r="A11" s="4" t="inlineStr">
        <is>
          <t>便所（女子）</t>
        </is>
      </c>
      <c r="B11" s="4" t="n"/>
      <c r="C11" s="4" t="n">
        <v>1</v>
      </c>
      <c r="D11" s="4" t="n"/>
      <c r="E11" s="4" t="n"/>
      <c r="F11" s="4" t="n"/>
      <c r="G11" s="4" t="n"/>
      <c r="H11" s="4" t="n"/>
      <c r="I11" s="4" t="n">
        <v>1</v>
      </c>
      <c r="J11" s="4" t="n"/>
      <c r="K11" s="4" t="n"/>
      <c r="L11" s="4" t="n">
        <v>1</v>
      </c>
      <c r="M11" s="4">
        <f>SUM(B11:L11)</f>
        <v/>
      </c>
    </row>
    <row r="12">
      <c r="A12" s="4" t="inlineStr">
        <is>
          <t>便所（男子）</t>
        </is>
      </c>
      <c r="B12" s="4" t="n"/>
      <c r="C12" s="4" t="n">
        <v>1</v>
      </c>
      <c r="D12" s="4" t="n"/>
      <c r="E12" s="4" t="n"/>
      <c r="F12" s="4" t="n"/>
      <c r="G12" s="4" t="n"/>
      <c r="H12" s="4" t="n"/>
      <c r="I12" s="4" t="n">
        <v>1</v>
      </c>
      <c r="J12" s="4" t="n"/>
      <c r="K12" s="4" t="n"/>
      <c r="L12" s="4" t="n">
        <v>1</v>
      </c>
      <c r="M12" s="4">
        <f>SUM(B12:L12)</f>
        <v/>
      </c>
    </row>
    <row r="13">
      <c r="A13" s="4" t="inlineStr">
        <is>
          <t>屋外（活イケス）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>
        <v>1</v>
      </c>
      <c r="K13" s="4" t="n"/>
      <c r="L13" s="4" t="n"/>
      <c r="M13" s="4">
        <f>SUM(B13:L13)</f>
        <v/>
      </c>
    </row>
    <row r="14">
      <c r="A14" s="4" t="inlineStr">
        <is>
          <t>事務所</t>
        </is>
      </c>
      <c r="B14" s="4" t="n"/>
      <c r="C14" s="4" t="n"/>
      <c r="D14" s="4" t="n">
        <v>6</v>
      </c>
      <c r="E14" s="4" t="n">
        <v>4</v>
      </c>
      <c r="F14" s="4" t="n">
        <v>2</v>
      </c>
      <c r="G14" s="4" t="n"/>
      <c r="H14" s="4" t="n"/>
      <c r="I14" s="4" t="n"/>
      <c r="J14" s="4" t="n"/>
      <c r="K14" s="4" t="n">
        <v>2</v>
      </c>
      <c r="L14" s="4" t="n"/>
      <c r="M14" s="4">
        <f>SUM(B14:L14)</f>
        <v/>
      </c>
    </row>
    <row r="15">
      <c r="A15" s="4" t="inlineStr">
        <is>
          <t>合計</t>
        </is>
      </c>
      <c r="B15" s="4">
        <f>SUM(B4:B14)</f>
        <v/>
      </c>
      <c r="C15" s="4">
        <f>SUM(C4:C14)</f>
        <v/>
      </c>
      <c r="D15" s="4">
        <f>SUM(D4:D14)</f>
        <v/>
      </c>
      <c r="E15" s="4">
        <f>SUM(E4:E14)</f>
        <v/>
      </c>
      <c r="F15" s="4">
        <f>SUM(F4:F14)</f>
        <v/>
      </c>
      <c r="G15" s="4">
        <f>SUM(G4:G14)</f>
        <v/>
      </c>
      <c r="H15" s="4">
        <f>SUM(H4:H14)</f>
        <v/>
      </c>
      <c r="I15" s="4">
        <f>SUM(I4:I14)</f>
        <v/>
      </c>
      <c r="J15" s="4">
        <f>SUM(J4:J14)</f>
        <v/>
      </c>
      <c r="K15" s="4">
        <f>SUM(K4:K14)</f>
        <v/>
      </c>
      <c r="L15" s="4">
        <f>SUM(L4:L14)</f>
        <v/>
      </c>
      <c r="M15" s="4">
        <f>SUM(M4:M14)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0" customWidth="1" min="3" max="3"/>
    <col width="11" customWidth="1" min="4" max="4"/>
    <col width="11" customWidth="1" min="5" max="5"/>
    <col width="12" customWidth="1" min="6" max="6"/>
  </cols>
  <sheetData>
    <row r="1">
      <c r="A1" s="1" t="inlineStr">
        <is>
          <t>配線数量内訳（回路別）</t>
        </is>
      </c>
    </row>
    <row r="2">
      <c r="A2" s="2" t="inlineStr">
        <is>
          <t>平面長：図上の配線長／ホームランは器具→分電盤の直交距離。余長10%。単位 m</t>
        </is>
      </c>
    </row>
    <row r="4">
      <c r="A4" s="3" t="inlineStr">
        <is>
          <t>回路</t>
        </is>
      </c>
      <c r="B4" s="3" t="inlineStr">
        <is>
          <t>区分</t>
        </is>
      </c>
      <c r="C4" s="3" t="inlineStr">
        <is>
          <t>ケーブル</t>
        </is>
      </c>
      <c r="D4" s="3" t="inlineStr">
        <is>
          <t>平面長 m</t>
        </is>
      </c>
      <c r="E4" s="3" t="inlineStr">
        <is>
          <t>立上下り m</t>
        </is>
      </c>
      <c r="F4" s="3" t="inlineStr">
        <is>
          <t>余長込み m</t>
        </is>
      </c>
    </row>
    <row r="5">
      <c r="A5" s="4" t="inlineStr">
        <is>
          <t>L1-1</t>
        </is>
      </c>
      <c r="B5" s="4" t="inlineStr">
        <is>
          <t>器具間</t>
        </is>
      </c>
      <c r="C5" s="4" t="inlineStr">
        <is>
          <t>VVF1.6-3C</t>
        </is>
      </c>
      <c r="D5" s="4" t="n">
        <v>0.89</v>
      </c>
      <c r="E5" s="4" t="n">
        <v>1.1</v>
      </c>
      <c r="F5" s="4">
        <f>ROUND((D5+E5)*1.1,2)</f>
        <v/>
      </c>
    </row>
    <row r="6">
      <c r="A6" s="4" t="inlineStr">
        <is>
          <t>L1-1</t>
        </is>
      </c>
      <c r="B6" s="4" t="inlineStr">
        <is>
          <t>器具間</t>
        </is>
      </c>
      <c r="C6" s="4" t="inlineStr">
        <is>
          <t>VVF1.6-2C×2</t>
        </is>
      </c>
      <c r="D6" s="4" t="n">
        <v>1.96</v>
      </c>
      <c r="E6" s="4" t="n">
        <v>0</v>
      </c>
      <c r="F6" s="4">
        <f>ROUND((D6+E6)*1.1,2)</f>
        <v/>
      </c>
    </row>
    <row r="7">
      <c r="A7" s="4" t="inlineStr">
        <is>
          <t>L1-1</t>
        </is>
      </c>
      <c r="B7" s="4" t="inlineStr">
        <is>
          <t>器具間</t>
        </is>
      </c>
      <c r="C7" s="4" t="inlineStr">
        <is>
          <t>VVF1.6-2C×2</t>
        </is>
      </c>
      <c r="D7" s="4" t="n">
        <v>1.96</v>
      </c>
      <c r="E7" s="4" t="n">
        <v>0</v>
      </c>
      <c r="F7" s="4">
        <f>ROUND((D7+E7)*1.1,2)</f>
        <v/>
      </c>
    </row>
    <row r="8">
      <c r="A8" s="4" t="inlineStr">
        <is>
          <t>L1-1</t>
        </is>
      </c>
      <c r="B8" s="4" t="inlineStr">
        <is>
          <t>器具間</t>
        </is>
      </c>
      <c r="C8" s="4" t="inlineStr">
        <is>
          <t>VVF1.6-3C</t>
        </is>
      </c>
      <c r="D8" s="4" t="n">
        <v>0.89</v>
      </c>
      <c r="E8" s="4" t="n">
        <v>1.1</v>
      </c>
      <c r="F8" s="4">
        <f>ROUND((D8+E8)*1.1,2)</f>
        <v/>
      </c>
    </row>
    <row r="9">
      <c r="A9" s="4" t="inlineStr">
        <is>
          <t>L1-1</t>
        </is>
      </c>
      <c r="B9" s="4" t="inlineStr">
        <is>
          <t>器具間</t>
        </is>
      </c>
      <c r="C9" s="4" t="inlineStr">
        <is>
          <t>VVF1.6-2C</t>
        </is>
      </c>
      <c r="D9" s="4" t="n">
        <v>0.39</v>
      </c>
      <c r="E9" s="4" t="n">
        <v>1.1</v>
      </c>
      <c r="F9" s="4">
        <f>ROUND((D9+E9)*1.1,2)</f>
        <v/>
      </c>
    </row>
    <row r="10">
      <c r="A10" s="4" t="inlineStr">
        <is>
          <t>L1-1</t>
        </is>
      </c>
      <c r="B10" s="4" t="inlineStr">
        <is>
          <t>器具間</t>
        </is>
      </c>
      <c r="C10" s="4" t="inlineStr">
        <is>
          <t>VVF1.6-2C</t>
        </is>
      </c>
      <c r="D10" s="4" t="n">
        <v>1.12</v>
      </c>
      <c r="E10" s="4" t="n">
        <v>1.1</v>
      </c>
      <c r="F10" s="4">
        <f>ROUND((D10+E10)*1.1,2)</f>
        <v/>
      </c>
    </row>
    <row r="11">
      <c r="A11" s="4" t="inlineStr">
        <is>
          <t>L1-1</t>
        </is>
      </c>
      <c r="B11" s="4" t="inlineStr">
        <is>
          <t>ホームラン</t>
        </is>
      </c>
      <c r="C11" s="4" t="inlineStr">
        <is>
          <t>VVF1.6-2C</t>
        </is>
      </c>
      <c r="D11" s="4" t="n">
        <v>8.48</v>
      </c>
      <c r="E11" s="4" t="n">
        <v>0.6</v>
      </c>
      <c r="F11" s="4">
        <f>ROUND((D11+E11)*1.1,2)</f>
        <v/>
      </c>
    </row>
    <row r="12">
      <c r="A12" s="4" t="inlineStr">
        <is>
          <t>L1-1</t>
        </is>
      </c>
      <c r="B12" s="4" t="inlineStr">
        <is>
          <t>ホームラン</t>
        </is>
      </c>
      <c r="C12" s="4" t="inlineStr">
        <is>
          <t>VVF1.6-2C</t>
        </is>
      </c>
      <c r="D12" s="4" t="n">
        <v>7.7</v>
      </c>
      <c r="E12" s="4" t="n">
        <v>0.6</v>
      </c>
      <c r="F12" s="4">
        <f>ROUND((D12+E12)*1.1,2)</f>
        <v/>
      </c>
    </row>
    <row r="13">
      <c r="A13" s="4" t="inlineStr">
        <is>
          <t>L1-1</t>
        </is>
      </c>
      <c r="B13" s="4" t="inlineStr">
        <is>
          <t>ホームラン</t>
        </is>
      </c>
      <c r="C13" s="4" t="inlineStr">
        <is>
          <t>VVF1.6-2C</t>
        </is>
      </c>
      <c r="D13" s="4" t="n">
        <v>11.57</v>
      </c>
      <c r="E13" s="4" t="n">
        <v>0.6</v>
      </c>
      <c r="F13" s="4">
        <f>ROUND((D13+E13)*1.1,2)</f>
        <v/>
      </c>
    </row>
    <row r="14">
      <c r="A14" s="4" t="inlineStr">
        <is>
          <t>L1-2</t>
        </is>
      </c>
      <c r="B14" s="4" t="inlineStr">
        <is>
          <t>器具間</t>
        </is>
      </c>
      <c r="C14" s="4" t="inlineStr">
        <is>
          <t>VVF1.6-2C</t>
        </is>
      </c>
      <c r="D14" s="4" t="n">
        <v>1.25</v>
      </c>
      <c r="E14" s="4" t="n">
        <v>0</v>
      </c>
      <c r="F14" s="4">
        <f>ROUND((D14+E14)*1.1,2)</f>
        <v/>
      </c>
    </row>
    <row r="15">
      <c r="A15" s="4" t="inlineStr">
        <is>
          <t>L1-2</t>
        </is>
      </c>
      <c r="B15" s="4" t="inlineStr">
        <is>
          <t>器具間</t>
        </is>
      </c>
      <c r="C15" s="4" t="inlineStr">
        <is>
          <t>VVF1.6-2C</t>
        </is>
      </c>
      <c r="D15" s="4" t="n">
        <v>1.25</v>
      </c>
      <c r="E15" s="4" t="n">
        <v>0</v>
      </c>
      <c r="F15" s="4">
        <f>ROUND((D15+E15)*1.1,2)</f>
        <v/>
      </c>
    </row>
    <row r="16">
      <c r="A16" s="4" t="inlineStr">
        <is>
          <t>L1-2</t>
        </is>
      </c>
      <c r="B16" s="4" t="inlineStr">
        <is>
          <t>器具間</t>
        </is>
      </c>
      <c r="C16" s="4" t="inlineStr">
        <is>
          <t>VVF1.6-2C</t>
        </is>
      </c>
      <c r="D16" s="4" t="n">
        <v>1.25</v>
      </c>
      <c r="E16" s="4" t="n">
        <v>0</v>
      </c>
      <c r="F16" s="4">
        <f>ROUND((D16+E16)*1.1,2)</f>
        <v/>
      </c>
    </row>
    <row r="17">
      <c r="A17" s="4" t="inlineStr">
        <is>
          <t>L1-2</t>
        </is>
      </c>
      <c r="B17" s="4" t="inlineStr">
        <is>
          <t>器具間</t>
        </is>
      </c>
      <c r="C17" s="4" t="inlineStr">
        <is>
          <t>VVF1.6-2C</t>
        </is>
      </c>
      <c r="D17" s="4" t="n">
        <v>1.25</v>
      </c>
      <c r="E17" s="4" t="n">
        <v>0</v>
      </c>
      <c r="F17" s="4">
        <f>ROUND((D17+E17)*1.1,2)</f>
        <v/>
      </c>
    </row>
    <row r="18">
      <c r="A18" s="4" t="inlineStr">
        <is>
          <t>L1-2</t>
        </is>
      </c>
      <c r="B18" s="4" t="inlineStr">
        <is>
          <t>器具間</t>
        </is>
      </c>
      <c r="C18" s="4" t="inlineStr">
        <is>
          <t>VVF1.6-2C</t>
        </is>
      </c>
      <c r="D18" s="4" t="n">
        <v>1.25</v>
      </c>
      <c r="E18" s="4" t="n">
        <v>0</v>
      </c>
      <c r="F18" s="4">
        <f>ROUND((D18+E18)*1.1,2)</f>
        <v/>
      </c>
    </row>
    <row r="19">
      <c r="A19" s="4" t="inlineStr">
        <is>
          <t>L1-2</t>
        </is>
      </c>
      <c r="B19" s="4" t="inlineStr">
        <is>
          <t>器具間</t>
        </is>
      </c>
      <c r="C19" s="4" t="inlineStr">
        <is>
          <t>VVF1.6-2C</t>
        </is>
      </c>
      <c r="D19" s="4" t="n">
        <v>1.25</v>
      </c>
      <c r="E19" s="4" t="n">
        <v>0</v>
      </c>
      <c r="F19" s="4">
        <f>ROUND((D19+E19)*1.1,2)</f>
        <v/>
      </c>
    </row>
    <row r="20">
      <c r="A20" s="4" t="inlineStr">
        <is>
          <t>L1-2</t>
        </is>
      </c>
      <c r="B20" s="4" t="inlineStr">
        <is>
          <t>器具間</t>
        </is>
      </c>
      <c r="C20" s="4" t="inlineStr">
        <is>
          <t>VVF1.6-2C</t>
        </is>
      </c>
      <c r="D20" s="4" t="n">
        <v>1.81</v>
      </c>
      <c r="E20" s="4" t="n">
        <v>0</v>
      </c>
      <c r="F20" s="4">
        <f>ROUND((D20+E20)*1.1,2)</f>
        <v/>
      </c>
    </row>
    <row r="21">
      <c r="A21" s="4" t="inlineStr">
        <is>
          <t>L1-2</t>
        </is>
      </c>
      <c r="B21" s="4" t="inlineStr">
        <is>
          <t>器具間</t>
        </is>
      </c>
      <c r="C21" s="4" t="inlineStr">
        <is>
          <t>VVF1.6-2C</t>
        </is>
      </c>
      <c r="D21" s="4" t="n">
        <v>1.81</v>
      </c>
      <c r="E21" s="4" t="n">
        <v>0</v>
      </c>
      <c r="F21" s="4">
        <f>ROUND((D21+E21)*1.1,2)</f>
        <v/>
      </c>
    </row>
    <row r="22">
      <c r="A22" s="4" t="inlineStr">
        <is>
          <t>L1-2</t>
        </is>
      </c>
      <c r="B22" s="4" t="inlineStr">
        <is>
          <t>器具間</t>
        </is>
      </c>
      <c r="C22" s="4" t="inlineStr">
        <is>
          <t>VVF1.6-2C</t>
        </is>
      </c>
      <c r="D22" s="4" t="n">
        <v>1.13</v>
      </c>
      <c r="E22" s="4" t="n">
        <v>1.1</v>
      </c>
      <c r="F22" s="4">
        <f>ROUND((D22+E22)*1.1,2)</f>
        <v/>
      </c>
    </row>
    <row r="23">
      <c r="A23" s="4" t="inlineStr">
        <is>
          <t>L1-2</t>
        </is>
      </c>
      <c r="B23" s="4" t="inlineStr">
        <is>
          <t>器具間</t>
        </is>
      </c>
      <c r="C23" s="4" t="inlineStr">
        <is>
          <t>VVF1.6-2C</t>
        </is>
      </c>
      <c r="D23" s="4" t="n">
        <v>1.95</v>
      </c>
      <c r="E23" s="4" t="n">
        <v>0</v>
      </c>
      <c r="F23" s="4">
        <f>ROUND((D23+E23)*1.1,2)</f>
        <v/>
      </c>
    </row>
    <row r="24">
      <c r="A24" s="4" t="inlineStr">
        <is>
          <t>L1-2</t>
        </is>
      </c>
      <c r="B24" s="4" t="inlineStr">
        <is>
          <t>器具間</t>
        </is>
      </c>
      <c r="C24" s="4" t="inlineStr">
        <is>
          <t>VVF1.6-2C</t>
        </is>
      </c>
      <c r="D24" s="4" t="n">
        <v>1.95</v>
      </c>
      <c r="E24" s="4" t="n">
        <v>0</v>
      </c>
      <c r="F24" s="4">
        <f>ROUND((D24+E24)*1.1,2)</f>
        <v/>
      </c>
    </row>
    <row r="25">
      <c r="A25" s="4" t="inlineStr">
        <is>
          <t>L1-2</t>
        </is>
      </c>
      <c r="B25" s="4" t="inlineStr">
        <is>
          <t>器具間</t>
        </is>
      </c>
      <c r="C25" s="4" t="inlineStr">
        <is>
          <t>VVF1.6-2C</t>
        </is>
      </c>
      <c r="D25" s="4" t="n">
        <v>1.95</v>
      </c>
      <c r="E25" s="4" t="n">
        <v>0</v>
      </c>
      <c r="F25" s="4">
        <f>ROUND((D25+E25)*1.1,2)</f>
        <v/>
      </c>
    </row>
    <row r="26">
      <c r="A26" s="4" t="inlineStr">
        <is>
          <t>L1-2</t>
        </is>
      </c>
      <c r="B26" s="4" t="inlineStr">
        <is>
          <t>器具間</t>
        </is>
      </c>
      <c r="C26" s="4" t="inlineStr">
        <is>
          <t>VVF1.6-2C</t>
        </is>
      </c>
      <c r="D26" s="4" t="n">
        <v>1.95</v>
      </c>
      <c r="E26" s="4" t="n">
        <v>0</v>
      </c>
      <c r="F26" s="4">
        <f>ROUND((D26+E26)*1.1,2)</f>
        <v/>
      </c>
    </row>
    <row r="27">
      <c r="A27" s="4" t="inlineStr">
        <is>
          <t>L1-2</t>
        </is>
      </c>
      <c r="B27" s="4" t="inlineStr">
        <is>
          <t>器具間</t>
        </is>
      </c>
      <c r="C27" s="4" t="inlineStr">
        <is>
          <t>VVF1.6-2C</t>
        </is>
      </c>
      <c r="D27" s="4" t="n">
        <v>1.18</v>
      </c>
      <c r="E27" s="4" t="n">
        <v>0</v>
      </c>
      <c r="F27" s="4">
        <f>ROUND((D27+E27)*1.1,2)</f>
        <v/>
      </c>
    </row>
    <row r="28">
      <c r="A28" s="4" t="inlineStr">
        <is>
          <t>L1-2</t>
        </is>
      </c>
      <c r="B28" s="4" t="inlineStr">
        <is>
          <t>器具間</t>
        </is>
      </c>
      <c r="C28" s="4" t="inlineStr">
        <is>
          <t>VVF1.6-2C</t>
        </is>
      </c>
      <c r="D28" s="4" t="n">
        <v>1.05</v>
      </c>
      <c r="E28" s="4" t="n">
        <v>0</v>
      </c>
      <c r="F28" s="4">
        <f>ROUND((D28+E28)*1.1,2)</f>
        <v/>
      </c>
    </row>
    <row r="29">
      <c r="A29" s="4" t="inlineStr">
        <is>
          <t>L1-2</t>
        </is>
      </c>
      <c r="B29" s="4" t="inlineStr">
        <is>
          <t>器具間</t>
        </is>
      </c>
      <c r="C29" s="4" t="inlineStr">
        <is>
          <t>VVF1.6-2C</t>
        </is>
      </c>
      <c r="D29" s="4" t="n">
        <v>1.1</v>
      </c>
      <c r="E29" s="4" t="n">
        <v>0</v>
      </c>
      <c r="F29" s="4">
        <f>ROUND((D29+E29)*1.1,2)</f>
        <v/>
      </c>
    </row>
    <row r="30">
      <c r="A30" s="4" t="inlineStr">
        <is>
          <t>L1-2</t>
        </is>
      </c>
      <c r="B30" s="4" t="inlineStr">
        <is>
          <t>器具間</t>
        </is>
      </c>
      <c r="C30" s="4" t="inlineStr">
        <is>
          <t>VVF1.6-2C</t>
        </is>
      </c>
      <c r="D30" s="4" t="n">
        <v>1.1</v>
      </c>
      <c r="E30" s="4" t="n">
        <v>0</v>
      </c>
      <c r="F30" s="4">
        <f>ROUND((D30+E30)*1.1,2)</f>
        <v/>
      </c>
    </row>
    <row r="31">
      <c r="A31" s="4" t="inlineStr">
        <is>
          <t>L1-2</t>
        </is>
      </c>
      <c r="B31" s="4" t="inlineStr">
        <is>
          <t>器具間</t>
        </is>
      </c>
      <c r="C31" s="4" t="inlineStr">
        <is>
          <t>VVF1.6-2C</t>
        </is>
      </c>
      <c r="D31" s="4" t="n">
        <v>1.09</v>
      </c>
      <c r="E31" s="4" t="n">
        <v>1.1</v>
      </c>
      <c r="F31" s="4">
        <f>ROUND((D31+E31)*1.1,2)</f>
        <v/>
      </c>
    </row>
    <row r="32">
      <c r="A32" s="4" t="inlineStr">
        <is>
          <t>L1-2</t>
        </is>
      </c>
      <c r="B32" s="4" t="inlineStr">
        <is>
          <t>器具間</t>
        </is>
      </c>
      <c r="C32" s="4" t="inlineStr">
        <is>
          <t>VVF1.6-2C</t>
        </is>
      </c>
      <c r="D32" s="4" t="n">
        <v>1.5</v>
      </c>
      <c r="E32" s="4" t="n">
        <v>0</v>
      </c>
      <c r="F32" s="4">
        <f>ROUND((D32+E32)*1.1,2)</f>
        <v/>
      </c>
    </row>
    <row r="33">
      <c r="A33" s="4" t="inlineStr">
        <is>
          <t>L1-2</t>
        </is>
      </c>
      <c r="B33" s="4" t="inlineStr">
        <is>
          <t>器具間</t>
        </is>
      </c>
      <c r="C33" s="4" t="inlineStr">
        <is>
          <t>VVF1.6-2C</t>
        </is>
      </c>
      <c r="D33" s="4" t="n">
        <v>1.43</v>
      </c>
      <c r="E33" s="4" t="n">
        <v>0</v>
      </c>
      <c r="F33" s="4">
        <f>ROUND((D33+E33)*1.1,2)</f>
        <v/>
      </c>
    </row>
    <row r="34">
      <c r="A34" s="4" t="inlineStr">
        <is>
          <t>L1-2</t>
        </is>
      </c>
      <c r="B34" s="4" t="inlineStr">
        <is>
          <t>器具間</t>
        </is>
      </c>
      <c r="C34" s="4" t="inlineStr">
        <is>
          <t>VVF1.6-2C</t>
        </is>
      </c>
      <c r="D34" s="4" t="n">
        <v>1.91</v>
      </c>
      <c r="E34" s="4" t="n">
        <v>0</v>
      </c>
      <c r="F34" s="4">
        <f>ROUND((D34+E34)*1.1,2)</f>
        <v/>
      </c>
    </row>
    <row r="35">
      <c r="A35" s="4" t="inlineStr">
        <is>
          <t>L1-2</t>
        </is>
      </c>
      <c r="B35" s="4" t="inlineStr">
        <is>
          <t>器具間</t>
        </is>
      </c>
      <c r="C35" s="4" t="inlineStr">
        <is>
          <t>VVF1.6-2C</t>
        </is>
      </c>
      <c r="D35" s="4" t="n">
        <v>1.7</v>
      </c>
      <c r="E35" s="4" t="n">
        <v>0</v>
      </c>
      <c r="F35" s="4">
        <f>ROUND((D35+E35)*1.1,2)</f>
        <v/>
      </c>
    </row>
    <row r="36">
      <c r="A36" s="4" t="inlineStr">
        <is>
          <t>L1-2</t>
        </is>
      </c>
      <c r="B36" s="4" t="inlineStr">
        <is>
          <t>器具間</t>
        </is>
      </c>
      <c r="C36" s="4" t="inlineStr">
        <is>
          <t>VVF1.6-2C</t>
        </is>
      </c>
      <c r="D36" s="4" t="n">
        <v>0.95</v>
      </c>
      <c r="E36" s="4" t="n">
        <v>0</v>
      </c>
      <c r="F36" s="4">
        <f>ROUND((D36+E36)*1.1,2)</f>
        <v/>
      </c>
    </row>
    <row r="37">
      <c r="A37" s="4" t="inlineStr">
        <is>
          <t>L1-2</t>
        </is>
      </c>
      <c r="B37" s="4" t="inlineStr">
        <is>
          <t>器具間</t>
        </is>
      </c>
      <c r="C37" s="4" t="inlineStr">
        <is>
          <t>VVF1.6-2C</t>
        </is>
      </c>
      <c r="D37" s="4" t="n">
        <v>1.7</v>
      </c>
      <c r="E37" s="4" t="n">
        <v>0</v>
      </c>
      <c r="F37" s="4">
        <f>ROUND((D37+E37)*1.1,2)</f>
        <v/>
      </c>
    </row>
    <row r="38">
      <c r="A38" s="4" t="inlineStr">
        <is>
          <t>L1-2</t>
        </is>
      </c>
      <c r="B38" s="4" t="inlineStr">
        <is>
          <t>器具間</t>
        </is>
      </c>
      <c r="C38" s="4" t="inlineStr">
        <is>
          <t>VVF1.6-2C</t>
        </is>
      </c>
      <c r="D38" s="4" t="n">
        <v>0.95</v>
      </c>
      <c r="E38" s="4" t="n">
        <v>0</v>
      </c>
      <c r="F38" s="4">
        <f>ROUND((D38+E38)*1.1,2)</f>
        <v/>
      </c>
    </row>
    <row r="39">
      <c r="A39" s="4" t="inlineStr">
        <is>
          <t>L1-2</t>
        </is>
      </c>
      <c r="B39" s="4" t="inlineStr">
        <is>
          <t>器具間</t>
        </is>
      </c>
      <c r="C39" s="4" t="inlineStr">
        <is>
          <t>VVF1.6-2C</t>
        </is>
      </c>
      <c r="D39" s="4" t="n">
        <v>6.89</v>
      </c>
      <c r="E39" s="4" t="n">
        <v>1.1</v>
      </c>
      <c r="F39" s="4">
        <f>ROUND((D39+E39)*1.1,2)</f>
        <v/>
      </c>
    </row>
    <row r="40">
      <c r="A40" s="4" t="inlineStr">
        <is>
          <t>L1-2</t>
        </is>
      </c>
      <c r="B40" s="4" t="inlineStr">
        <is>
          <t>器具間</t>
        </is>
      </c>
      <c r="C40" s="4" t="inlineStr">
        <is>
          <t>VVF1.6-2C</t>
        </is>
      </c>
      <c r="D40" s="4" t="n">
        <v>1.92</v>
      </c>
      <c r="E40" s="4" t="n">
        <v>0</v>
      </c>
      <c r="F40" s="4">
        <f>ROUND((D40+E40)*1.1,2)</f>
        <v/>
      </c>
    </row>
    <row r="41">
      <c r="A41" s="4" t="inlineStr">
        <is>
          <t>L1-2</t>
        </is>
      </c>
      <c r="B41" s="4" t="inlineStr">
        <is>
          <t>器具間</t>
        </is>
      </c>
      <c r="C41" s="4" t="inlineStr">
        <is>
          <t>VVF1.6-2C</t>
        </is>
      </c>
      <c r="D41" s="4" t="n">
        <v>1.9</v>
      </c>
      <c r="E41" s="4" t="n">
        <v>0</v>
      </c>
      <c r="F41" s="4">
        <f>ROUND((D41+E41)*1.1,2)</f>
        <v/>
      </c>
    </row>
    <row r="42">
      <c r="A42" s="4" t="inlineStr">
        <is>
          <t>L1-2</t>
        </is>
      </c>
      <c r="B42" s="4" t="inlineStr">
        <is>
          <t>器具間</t>
        </is>
      </c>
      <c r="C42" s="4" t="inlineStr">
        <is>
          <t>VVF1.6-2C</t>
        </is>
      </c>
      <c r="D42" s="4" t="n">
        <v>3.5</v>
      </c>
      <c r="E42" s="4" t="n">
        <v>0</v>
      </c>
      <c r="F42" s="4">
        <f>ROUND((D42+E42)*1.1,2)</f>
        <v/>
      </c>
    </row>
    <row r="43">
      <c r="A43" s="4" t="inlineStr">
        <is>
          <t>L1-2</t>
        </is>
      </c>
      <c r="B43" s="4" t="inlineStr">
        <is>
          <t>器具間</t>
        </is>
      </c>
      <c r="C43" s="4" t="inlineStr">
        <is>
          <t>VVF1.6-2C</t>
        </is>
      </c>
      <c r="D43" s="4" t="n">
        <v>2.7</v>
      </c>
      <c r="E43" s="4" t="n">
        <v>0</v>
      </c>
      <c r="F43" s="4">
        <f>ROUND((D43+E43)*1.1,2)</f>
        <v/>
      </c>
    </row>
    <row r="44">
      <c r="A44" s="4" t="inlineStr">
        <is>
          <t>L1-2</t>
        </is>
      </c>
      <c r="B44" s="4" t="inlineStr">
        <is>
          <t>器具間</t>
        </is>
      </c>
      <c r="C44" s="4" t="inlineStr">
        <is>
          <t>VVF1.6-2C</t>
        </is>
      </c>
      <c r="D44" s="4" t="n">
        <v>2.38</v>
      </c>
      <c r="E44" s="4" t="n">
        <v>1.1</v>
      </c>
      <c r="F44" s="4">
        <f>ROUND((D44+E44)*1.1,2)</f>
        <v/>
      </c>
    </row>
    <row r="45">
      <c r="A45" s="4" t="inlineStr">
        <is>
          <t>L1-2</t>
        </is>
      </c>
      <c r="B45" s="4" t="inlineStr">
        <is>
          <t>器具間</t>
        </is>
      </c>
      <c r="C45" s="4" t="inlineStr">
        <is>
          <t>VVF1.6-2C</t>
        </is>
      </c>
      <c r="D45" s="4" t="n">
        <v>1.67</v>
      </c>
      <c r="E45" s="4" t="n">
        <v>0</v>
      </c>
      <c r="F45" s="4">
        <f>ROUND((D45+E45)*1.1,2)</f>
        <v/>
      </c>
    </row>
    <row r="46">
      <c r="A46" s="4" t="inlineStr">
        <is>
          <t>L1-2</t>
        </is>
      </c>
      <c r="B46" s="4" t="inlineStr">
        <is>
          <t>器具間</t>
        </is>
      </c>
      <c r="C46" s="4" t="inlineStr">
        <is>
          <t>VVF1.6-2C</t>
        </is>
      </c>
      <c r="D46" s="4" t="n">
        <v>1.67</v>
      </c>
      <c r="E46" s="4" t="n">
        <v>0</v>
      </c>
      <c r="F46" s="4">
        <f>ROUND((D46+E46)*1.1,2)</f>
        <v/>
      </c>
    </row>
    <row r="47">
      <c r="A47" s="4" t="inlineStr">
        <is>
          <t>L1-2</t>
        </is>
      </c>
      <c r="B47" s="4" t="inlineStr">
        <is>
          <t>器具間</t>
        </is>
      </c>
      <c r="C47" s="4" t="inlineStr">
        <is>
          <t>VVF1.6-2C</t>
        </is>
      </c>
      <c r="D47" s="4" t="n">
        <v>1.67</v>
      </c>
      <c r="E47" s="4" t="n">
        <v>0</v>
      </c>
      <c r="F47" s="4">
        <f>ROUND((D47+E47)*1.1,2)</f>
        <v/>
      </c>
    </row>
    <row r="48">
      <c r="A48" s="4" t="inlineStr">
        <is>
          <t>L1-2</t>
        </is>
      </c>
      <c r="B48" s="4" t="inlineStr">
        <is>
          <t>器具間</t>
        </is>
      </c>
      <c r="C48" s="4" t="inlineStr">
        <is>
          <t>VVF1.6-2C</t>
        </is>
      </c>
      <c r="D48" s="4" t="n">
        <v>1.67</v>
      </c>
      <c r="E48" s="4" t="n">
        <v>0</v>
      </c>
      <c r="F48" s="4">
        <f>ROUND((D48+E48)*1.1,2)</f>
        <v/>
      </c>
    </row>
    <row r="49">
      <c r="A49" s="4" t="inlineStr">
        <is>
          <t>L1-2</t>
        </is>
      </c>
      <c r="B49" s="4" t="inlineStr">
        <is>
          <t>器具間</t>
        </is>
      </c>
      <c r="C49" s="4" t="inlineStr">
        <is>
          <t>VVF1.6-2C</t>
        </is>
      </c>
      <c r="D49" s="4" t="n">
        <v>1.67</v>
      </c>
      <c r="E49" s="4" t="n">
        <v>0</v>
      </c>
      <c r="F49" s="4">
        <f>ROUND((D49+E49)*1.1,2)</f>
        <v/>
      </c>
    </row>
    <row r="50">
      <c r="A50" s="4" t="inlineStr">
        <is>
          <t>L1-2</t>
        </is>
      </c>
      <c r="B50" s="4" t="inlineStr">
        <is>
          <t>器具間</t>
        </is>
      </c>
      <c r="C50" s="4" t="inlineStr">
        <is>
          <t>VVF1.6-2C</t>
        </is>
      </c>
      <c r="D50" s="4" t="n">
        <v>1.67</v>
      </c>
      <c r="E50" s="4" t="n">
        <v>0</v>
      </c>
      <c r="F50" s="4">
        <f>ROUND((D50+E50)*1.1,2)</f>
        <v/>
      </c>
    </row>
    <row r="51">
      <c r="A51" s="4" t="inlineStr">
        <is>
          <t>L1-2</t>
        </is>
      </c>
      <c r="B51" s="4" t="inlineStr">
        <is>
          <t>器具間</t>
        </is>
      </c>
      <c r="C51" s="4" t="inlineStr">
        <is>
          <t>VVF1.6-2C</t>
        </is>
      </c>
      <c r="D51" s="4" t="n">
        <v>1.67</v>
      </c>
      <c r="E51" s="4" t="n">
        <v>0</v>
      </c>
      <c r="F51" s="4">
        <f>ROUND((D51+E51)*1.1,2)</f>
        <v/>
      </c>
    </row>
    <row r="52">
      <c r="A52" s="4" t="inlineStr">
        <is>
          <t>L1-2</t>
        </is>
      </c>
      <c r="B52" s="4" t="inlineStr">
        <is>
          <t>器具間</t>
        </is>
      </c>
      <c r="C52" s="4" t="inlineStr">
        <is>
          <t>VVF1.6-2C</t>
        </is>
      </c>
      <c r="D52" s="4" t="n">
        <v>1.67</v>
      </c>
      <c r="E52" s="4" t="n">
        <v>0</v>
      </c>
      <c r="F52" s="4">
        <f>ROUND((D52+E52)*1.1,2)</f>
        <v/>
      </c>
    </row>
    <row r="53">
      <c r="A53" s="4" t="inlineStr">
        <is>
          <t>L1-2</t>
        </is>
      </c>
      <c r="B53" s="4" t="inlineStr">
        <is>
          <t>器具間</t>
        </is>
      </c>
      <c r="C53" s="4" t="inlineStr">
        <is>
          <t>VVF1.6-2C</t>
        </is>
      </c>
      <c r="D53" s="4" t="n">
        <v>1.5</v>
      </c>
      <c r="E53" s="4" t="n">
        <v>0</v>
      </c>
      <c r="F53" s="4">
        <f>ROUND((D53+E53)*1.1,2)</f>
        <v/>
      </c>
    </row>
    <row r="54">
      <c r="A54" s="4" t="inlineStr">
        <is>
          <t>L1-2</t>
        </is>
      </c>
      <c r="B54" s="4" t="inlineStr">
        <is>
          <t>器具間</t>
        </is>
      </c>
      <c r="C54" s="4" t="inlineStr">
        <is>
          <t>VVF1.6-2C</t>
        </is>
      </c>
      <c r="D54" s="4" t="n">
        <v>1.5</v>
      </c>
      <c r="E54" s="4" t="n">
        <v>0</v>
      </c>
      <c r="F54" s="4">
        <f>ROUND((D54+E54)*1.1,2)</f>
        <v/>
      </c>
    </row>
    <row r="55">
      <c r="A55" s="4" t="inlineStr">
        <is>
          <t>L1-2</t>
        </is>
      </c>
      <c r="B55" s="4" t="inlineStr">
        <is>
          <t>器具間</t>
        </is>
      </c>
      <c r="C55" s="4" t="inlineStr">
        <is>
          <t>VVF1.6-2C</t>
        </is>
      </c>
      <c r="D55" s="4" t="n">
        <v>1.5</v>
      </c>
      <c r="E55" s="4" t="n">
        <v>0</v>
      </c>
      <c r="F55" s="4">
        <f>ROUND((D55+E55)*1.1,2)</f>
        <v/>
      </c>
    </row>
    <row r="56">
      <c r="A56" s="4" t="inlineStr">
        <is>
          <t>L1-2</t>
        </is>
      </c>
      <c r="B56" s="4" t="inlineStr">
        <is>
          <t>器具間</t>
        </is>
      </c>
      <c r="C56" s="4" t="inlineStr">
        <is>
          <t>VVF1.6-2C</t>
        </is>
      </c>
      <c r="D56" s="4" t="n">
        <v>3.44</v>
      </c>
      <c r="E56" s="4" t="n">
        <v>0</v>
      </c>
      <c r="F56" s="4">
        <f>ROUND((D56+E56)*1.1,2)</f>
        <v/>
      </c>
    </row>
    <row r="57">
      <c r="A57" s="4" t="inlineStr">
        <is>
          <t>L1-2</t>
        </is>
      </c>
      <c r="B57" s="4" t="inlineStr">
        <is>
          <t>器具間</t>
        </is>
      </c>
      <c r="C57" s="4" t="inlineStr">
        <is>
          <t>VVF1.6-2C</t>
        </is>
      </c>
      <c r="D57" s="4" t="n">
        <v>1.59</v>
      </c>
      <c r="E57" s="4" t="n">
        <v>1.1</v>
      </c>
      <c r="F57" s="4">
        <f>ROUND((D57+E57)*1.1,2)</f>
        <v/>
      </c>
    </row>
    <row r="58">
      <c r="A58" s="4" t="inlineStr">
        <is>
          <t>L1-2</t>
        </is>
      </c>
      <c r="B58" s="4" t="inlineStr">
        <is>
          <t>器具間</t>
        </is>
      </c>
      <c r="C58" s="4" t="inlineStr">
        <is>
          <t>VVF1.6-2C</t>
        </is>
      </c>
      <c r="D58" s="4" t="n">
        <v>4.76</v>
      </c>
      <c r="E58" s="4" t="n">
        <v>1.1</v>
      </c>
      <c r="F58" s="4">
        <f>ROUND((D58+E58)*1.1,2)</f>
        <v/>
      </c>
    </row>
    <row r="59">
      <c r="A59" s="4" t="inlineStr">
        <is>
          <t>L1-2</t>
        </is>
      </c>
      <c r="B59" s="4" t="inlineStr">
        <is>
          <t>ホームラン</t>
        </is>
      </c>
      <c r="C59" s="4" t="inlineStr">
        <is>
          <t>VVF1.6-2C</t>
        </is>
      </c>
      <c r="D59" s="4" t="n">
        <v>2.42</v>
      </c>
      <c r="E59" s="4" t="n">
        <v>0.6</v>
      </c>
      <c r="F59" s="4">
        <f>ROUND((D59+E59)*1.1,2)</f>
        <v/>
      </c>
    </row>
    <row r="60">
      <c r="A60" s="4" t="inlineStr">
        <is>
          <t>L1-3</t>
        </is>
      </c>
      <c r="B60" s="4" t="inlineStr">
        <is>
          <t>器具間</t>
        </is>
      </c>
      <c r="C60" s="4" t="inlineStr">
        <is>
          <t>VVF2.0-2C</t>
        </is>
      </c>
      <c r="D60" s="4" t="n">
        <v>5.37</v>
      </c>
      <c r="E60" s="4" t="n">
        <v>4.2</v>
      </c>
      <c r="F60" s="4">
        <f>ROUND((D60+E60)*1.1,2)</f>
        <v/>
      </c>
    </row>
    <row r="61">
      <c r="A61" s="4" t="inlineStr">
        <is>
          <t>L1-3</t>
        </is>
      </c>
      <c r="B61" s="4" t="inlineStr">
        <is>
          <t>器具間</t>
        </is>
      </c>
      <c r="C61" s="4" t="inlineStr">
        <is>
          <t>VVF2.0-2C</t>
        </is>
      </c>
      <c r="D61" s="4" t="n">
        <v>2.9</v>
      </c>
      <c r="E61" s="4" t="n">
        <v>4.2</v>
      </c>
      <c r="F61" s="4">
        <f>ROUND((D61+E61)*1.1,2)</f>
        <v/>
      </c>
    </row>
    <row r="62">
      <c r="A62" s="4" t="inlineStr">
        <is>
          <t>L1-3</t>
        </is>
      </c>
      <c r="B62" s="4" t="inlineStr">
        <is>
          <t>ホームラン</t>
        </is>
      </c>
      <c r="C62" s="4" t="inlineStr">
        <is>
          <t>VVF2.0-2C</t>
        </is>
      </c>
      <c r="D62" s="4" t="n">
        <v>8.76</v>
      </c>
      <c r="E62" s="4" t="n">
        <v>2.7</v>
      </c>
      <c r="F62" s="4">
        <f>ROUND((D62+E62)*1.1,2)</f>
        <v/>
      </c>
    </row>
    <row r="63">
      <c r="A63" s="4" t="inlineStr">
        <is>
          <t>L1-3</t>
        </is>
      </c>
      <c r="B63" s="4" t="inlineStr">
        <is>
          <t>ホームラン</t>
        </is>
      </c>
      <c r="C63" s="4" t="inlineStr">
        <is>
          <t>VVF2.0-2C</t>
        </is>
      </c>
      <c r="D63" s="4" t="n">
        <v>6.98</v>
      </c>
      <c r="E63" s="4" t="n">
        <v>2.7</v>
      </c>
      <c r="F63" s="4">
        <f>ROUND((D63+E63)*1.1,2)</f>
        <v/>
      </c>
    </row>
    <row r="64">
      <c r="A64" s="4" t="inlineStr">
        <is>
          <t>L1-4</t>
        </is>
      </c>
      <c r="B64" s="4" t="inlineStr">
        <is>
          <t>器具間</t>
        </is>
      </c>
      <c r="C64" s="4" t="inlineStr">
        <is>
          <t>VVF2.0-2C</t>
        </is>
      </c>
      <c r="D64" s="4" t="n">
        <v>4.3</v>
      </c>
      <c r="E64" s="4" t="n">
        <v>4.2</v>
      </c>
      <c r="F64" s="4">
        <f>ROUND((D64+E64)*1.1,2)</f>
        <v/>
      </c>
    </row>
    <row r="65">
      <c r="A65" s="4" t="inlineStr">
        <is>
          <t>L1-4</t>
        </is>
      </c>
      <c r="B65" s="4" t="inlineStr">
        <is>
          <t>器具間</t>
        </is>
      </c>
      <c r="C65" s="4" t="inlineStr">
        <is>
          <t>VVF2.0-2C</t>
        </is>
      </c>
      <c r="D65" s="4" t="n">
        <v>5.7</v>
      </c>
      <c r="E65" s="4" t="n">
        <v>4.2</v>
      </c>
      <c r="F65" s="4">
        <f>ROUND((D65+E65)*1.1,2)</f>
        <v/>
      </c>
    </row>
    <row r="66">
      <c r="A66" s="4" t="inlineStr">
        <is>
          <t>L1-4</t>
        </is>
      </c>
      <c r="B66" s="4" t="inlineStr">
        <is>
          <t>器具間</t>
        </is>
      </c>
      <c r="C66" s="4" t="inlineStr">
        <is>
          <t>VVF2.0-2C</t>
        </is>
      </c>
      <c r="D66" s="4" t="n">
        <v>1.9</v>
      </c>
      <c r="E66" s="4" t="n">
        <v>4.2</v>
      </c>
      <c r="F66" s="4">
        <f>ROUND((D66+E66)*1.1,2)</f>
        <v/>
      </c>
    </row>
    <row r="67">
      <c r="A67" s="4" t="inlineStr">
        <is>
          <t>L1-4</t>
        </is>
      </c>
      <c r="B67" s="4" t="inlineStr">
        <is>
          <t>ホームラン</t>
        </is>
      </c>
      <c r="C67" s="4" t="inlineStr">
        <is>
          <t>VVF2.0-2C</t>
        </is>
      </c>
      <c r="D67" s="4" t="n">
        <v>2.86</v>
      </c>
      <c r="E67" s="4" t="n">
        <v>2.7</v>
      </c>
      <c r="F67" s="4">
        <f>ROUND((D67+E67)*1.1,2)</f>
        <v/>
      </c>
    </row>
    <row r="68">
      <c r="A68" s="4" t="inlineStr">
        <is>
          <t>L1-4</t>
        </is>
      </c>
      <c r="B68" s="4" t="inlineStr">
        <is>
          <t>ホームラン</t>
        </is>
      </c>
      <c r="C68" s="4" t="inlineStr">
        <is>
          <t>VVF2.0-2C</t>
        </is>
      </c>
      <c r="D68" s="4" t="n">
        <v>1.29</v>
      </c>
      <c r="E68" s="4" t="n">
        <v>2.7</v>
      </c>
      <c r="F68" s="4">
        <f>ROUND((D68+E68)*1.1,2)</f>
        <v/>
      </c>
    </row>
    <row r="69">
      <c r="A69" s="4" t="inlineStr">
        <is>
          <t>L1-4</t>
        </is>
      </c>
      <c r="B69" s="4" t="inlineStr">
        <is>
          <t>ホームラン</t>
        </is>
      </c>
      <c r="C69" s="4" t="inlineStr">
        <is>
          <t>VVF2.0-2C</t>
        </is>
      </c>
      <c r="D69" s="4" t="n">
        <v>16.63</v>
      </c>
      <c r="E69" s="4" t="n">
        <v>2.7</v>
      </c>
      <c r="F69" s="4">
        <f>ROUND((D69+E69)*1.1,2)</f>
        <v/>
      </c>
    </row>
    <row r="70">
      <c r="A70" s="4" t="inlineStr">
        <is>
          <t>L1-5</t>
        </is>
      </c>
      <c r="B70" s="4" t="inlineStr">
        <is>
          <t>器具間</t>
        </is>
      </c>
      <c r="C70" s="4" t="inlineStr">
        <is>
          <t>VVF2.0-3C</t>
        </is>
      </c>
      <c r="D70" s="4" t="n">
        <v>3.71</v>
      </c>
      <c r="E70" s="4" t="n">
        <v>4.2</v>
      </c>
      <c r="F70" s="4">
        <f>ROUND((D70+E70)*1.1,2)</f>
        <v/>
      </c>
    </row>
    <row r="71">
      <c r="A71" s="4" t="inlineStr">
        <is>
          <t>L1-5</t>
        </is>
      </c>
      <c r="B71" s="4" t="inlineStr">
        <is>
          <t>ホームラン</t>
        </is>
      </c>
      <c r="C71" s="4" t="inlineStr">
        <is>
          <t>VVF2.0-3C</t>
        </is>
      </c>
      <c r="D71" s="4" t="n">
        <v>7.09</v>
      </c>
      <c r="E71" s="4" t="n">
        <v>2.7</v>
      </c>
      <c r="F71" s="4">
        <f>ROUND((D71+E71)*1.1,2)</f>
        <v/>
      </c>
    </row>
    <row r="72">
      <c r="A72" s="4" t="inlineStr">
        <is>
          <t>L1-6</t>
        </is>
      </c>
      <c r="B72" s="4" t="inlineStr">
        <is>
          <t>ホームラン</t>
        </is>
      </c>
      <c r="C72" s="4" t="inlineStr">
        <is>
          <t>VVF2.0-3C</t>
        </is>
      </c>
      <c r="D72" s="4" t="n">
        <v>7.94</v>
      </c>
      <c r="E72" s="4" t="n">
        <v>2.7</v>
      </c>
      <c r="F72" s="4">
        <f>ROUND((D72+E72)*1.1,2)</f>
        <v/>
      </c>
    </row>
    <row r="73">
      <c r="A73" s="4" t="inlineStr">
        <is>
          <t>L1-6</t>
        </is>
      </c>
      <c r="B73" s="4" t="inlineStr">
        <is>
          <t>ホームラン</t>
        </is>
      </c>
      <c r="C73" s="4" t="inlineStr">
        <is>
          <t>VVF2.0-3C</t>
        </is>
      </c>
      <c r="D73" s="4" t="n">
        <v>12.64</v>
      </c>
      <c r="E73" s="4" t="n">
        <v>2.7</v>
      </c>
      <c r="F73" s="4">
        <f>ROUND((D73+E73)*1.1,2)</f>
        <v/>
      </c>
    </row>
    <row r="74">
      <c r="A74" s="4" t="inlineStr">
        <is>
          <t>L1-7</t>
        </is>
      </c>
      <c r="B74" s="4" t="inlineStr">
        <is>
          <t>ホームラン</t>
        </is>
      </c>
      <c r="C74" s="4" t="inlineStr">
        <is>
          <t>VVF2.0-3C</t>
        </is>
      </c>
      <c r="D74" s="4" t="n">
        <v>7.3</v>
      </c>
      <c r="E74" s="4" t="n">
        <v>2.7</v>
      </c>
      <c r="F74" s="4">
        <f>ROUND((D74+E74)*1.1,2)</f>
        <v/>
      </c>
    </row>
    <row r="75">
      <c r="A75" s="4" t="inlineStr">
        <is>
          <t>L1-8</t>
        </is>
      </c>
      <c r="B75" s="4" t="inlineStr">
        <is>
          <t>ホームラン</t>
        </is>
      </c>
      <c r="C75" s="4" t="inlineStr">
        <is>
          <t>VVF2.0-3C</t>
        </is>
      </c>
      <c r="D75" s="4" t="n">
        <v>8.050000000000001</v>
      </c>
      <c r="E75" s="4" t="n">
        <v>2.7</v>
      </c>
      <c r="F75" s="4">
        <f>ROUND((D75+E75)*1.1,2)</f>
        <v/>
      </c>
    </row>
    <row r="76">
      <c r="A76" s="4" t="inlineStr">
        <is>
          <t>L1-9</t>
        </is>
      </c>
      <c r="B76" s="4" t="inlineStr">
        <is>
          <t>ホームラン</t>
        </is>
      </c>
      <c r="C76" s="4" t="inlineStr">
        <is>
          <t>VVF2.0-3C</t>
        </is>
      </c>
      <c r="D76" s="4" t="n">
        <v>8.800000000000001</v>
      </c>
      <c r="E76" s="4" t="n">
        <v>2.7</v>
      </c>
      <c r="F76" s="4">
        <f>ROUND((D76+E76)*1.1,2)</f>
        <v/>
      </c>
    </row>
    <row r="77">
      <c r="A77" s="4" t="inlineStr">
        <is>
          <t>L1-10</t>
        </is>
      </c>
      <c r="B77" s="4" t="inlineStr">
        <is>
          <t>ホームラン</t>
        </is>
      </c>
      <c r="C77" s="4" t="inlineStr">
        <is>
          <t>VVF2.0-3C</t>
        </is>
      </c>
      <c r="D77" s="4" t="n">
        <v>9.550000000000001</v>
      </c>
      <c r="E77" s="4" t="n">
        <v>2.7</v>
      </c>
      <c r="F77" s="4">
        <f>ROUND((D77+E77)*1.1,2)</f>
        <v/>
      </c>
    </row>
    <row r="78">
      <c r="A78" s="4" t="inlineStr">
        <is>
          <t>L1-11</t>
        </is>
      </c>
      <c r="B78" s="4" t="inlineStr">
        <is>
          <t>ホームラン</t>
        </is>
      </c>
      <c r="C78" s="4" t="inlineStr">
        <is>
          <t>VVF2.0-3C</t>
        </is>
      </c>
      <c r="D78" s="4" t="n">
        <v>12.15</v>
      </c>
      <c r="E78" s="4" t="n">
        <v>2.7</v>
      </c>
      <c r="F78" s="4">
        <f>ROUND((D78+E78)*1.1,2)</f>
        <v/>
      </c>
    </row>
    <row r="79">
      <c r="A79" s="4" t="inlineStr">
        <is>
          <t>L1-12</t>
        </is>
      </c>
      <c r="B79" s="4" t="inlineStr">
        <is>
          <t>ホームラン</t>
        </is>
      </c>
      <c r="C79" s="4" t="inlineStr">
        <is>
          <t>VVF2.0-3C</t>
        </is>
      </c>
      <c r="D79" s="4" t="n">
        <v>4.77</v>
      </c>
      <c r="E79" s="4" t="n">
        <v>2.7</v>
      </c>
      <c r="F79" s="4">
        <f>ROUND((D79+E79)*1.1,2)</f>
        <v/>
      </c>
    </row>
    <row r="80">
      <c r="A80" s="4" t="inlineStr">
        <is>
          <t>L1-13〜18</t>
        </is>
      </c>
      <c r="B80" s="4" t="inlineStr">
        <is>
          <t>2階予備（6回路）</t>
        </is>
      </c>
      <c r="C80" s="4" t="inlineStr">
        <is>
          <t>VVF2.0-3C×6</t>
        </is>
      </c>
      <c r="D80" s="4" t="n">
        <v>70.8</v>
      </c>
      <c r="E80" s="4" t="n">
        <v>0</v>
      </c>
      <c r="F80" s="4" t="n">
        <v>77.88</v>
      </c>
    </row>
    <row r="81">
      <c r="A81" s="4" t="inlineStr">
        <is>
          <t>L2-1</t>
        </is>
      </c>
      <c r="B81" s="4" t="inlineStr">
        <is>
          <t>器具間</t>
        </is>
      </c>
      <c r="C81" s="4" t="inlineStr">
        <is>
          <t>VVF1.6-2C</t>
        </is>
      </c>
      <c r="D81" s="4" t="n">
        <v>1.7</v>
      </c>
      <c r="E81" s="4" t="n">
        <v>0</v>
      </c>
      <c r="F81" s="4">
        <f>ROUND((D81+E81)*1.1,2)</f>
        <v/>
      </c>
    </row>
    <row r="82">
      <c r="A82" s="4" t="inlineStr">
        <is>
          <t>L2-1</t>
        </is>
      </c>
      <c r="B82" s="4" t="inlineStr">
        <is>
          <t>器具間</t>
        </is>
      </c>
      <c r="C82" s="4" t="inlineStr">
        <is>
          <t>VVF1.6-2C</t>
        </is>
      </c>
      <c r="D82" s="4" t="n">
        <v>1.7</v>
      </c>
      <c r="E82" s="4" t="n">
        <v>0</v>
      </c>
      <c r="F82" s="4">
        <f>ROUND((D82+E82)*1.1,2)</f>
        <v/>
      </c>
    </row>
    <row r="83">
      <c r="A83" s="4" t="inlineStr">
        <is>
          <t>L2-1</t>
        </is>
      </c>
      <c r="B83" s="4" t="inlineStr">
        <is>
          <t>器具間</t>
        </is>
      </c>
      <c r="C83" s="4" t="inlineStr">
        <is>
          <t>VVF1.6-2C</t>
        </is>
      </c>
      <c r="D83" s="4" t="n">
        <v>1.7</v>
      </c>
      <c r="E83" s="4" t="n">
        <v>0</v>
      </c>
      <c r="F83" s="4">
        <f>ROUND((D83+E83)*1.1,2)</f>
        <v/>
      </c>
    </row>
    <row r="84">
      <c r="A84" s="4" t="inlineStr">
        <is>
          <t>L2-1</t>
        </is>
      </c>
      <c r="B84" s="4" t="inlineStr">
        <is>
          <t>器具間</t>
        </is>
      </c>
      <c r="C84" s="4" t="inlineStr">
        <is>
          <t>VVF1.6-2C</t>
        </is>
      </c>
      <c r="D84" s="4" t="n">
        <v>1.7</v>
      </c>
      <c r="E84" s="4" t="n">
        <v>0</v>
      </c>
      <c r="F84" s="4">
        <f>ROUND((D84+E84)*1.1,2)</f>
        <v/>
      </c>
    </row>
    <row r="85">
      <c r="A85" s="4" t="inlineStr">
        <is>
          <t>L2-1</t>
        </is>
      </c>
      <c r="B85" s="4" t="inlineStr">
        <is>
          <t>器具間</t>
        </is>
      </c>
      <c r="C85" s="4" t="inlineStr">
        <is>
          <t>VVF1.6-2C</t>
        </is>
      </c>
      <c r="D85" s="4" t="n">
        <v>1.95</v>
      </c>
      <c r="E85" s="4" t="n">
        <v>0</v>
      </c>
      <c r="F85" s="4">
        <f>ROUND((D85+E85)*1.1,2)</f>
        <v/>
      </c>
    </row>
    <row r="86">
      <c r="A86" s="4" t="inlineStr">
        <is>
          <t>L2-1</t>
        </is>
      </c>
      <c r="B86" s="4" t="inlineStr">
        <is>
          <t>器具間</t>
        </is>
      </c>
      <c r="C86" s="4" t="inlineStr">
        <is>
          <t>VVF1.6-2C</t>
        </is>
      </c>
      <c r="D86" s="4" t="n">
        <v>1.71</v>
      </c>
      <c r="E86" s="4" t="n">
        <v>1.1</v>
      </c>
      <c r="F86" s="4">
        <f>ROUND((D86+E86)*1.1,2)</f>
        <v/>
      </c>
    </row>
    <row r="87">
      <c r="A87" s="4" t="inlineStr">
        <is>
          <t>L2-1</t>
        </is>
      </c>
      <c r="B87" s="4" t="inlineStr">
        <is>
          <t>器具間</t>
        </is>
      </c>
      <c r="C87" s="4" t="inlineStr">
        <is>
          <t>VVF1.6-2C</t>
        </is>
      </c>
      <c r="D87" s="4" t="n">
        <v>3.85</v>
      </c>
      <c r="E87" s="4" t="n">
        <v>1.1</v>
      </c>
      <c r="F87" s="4">
        <f>ROUND((D87+E87)*1.1,2)</f>
        <v/>
      </c>
    </row>
    <row r="88">
      <c r="A88" s="4" t="inlineStr">
        <is>
          <t>L2-1</t>
        </is>
      </c>
      <c r="B88" s="4" t="inlineStr">
        <is>
          <t>ホームラン</t>
        </is>
      </c>
      <c r="C88" s="4" t="inlineStr">
        <is>
          <t>VVF1.6-2C</t>
        </is>
      </c>
      <c r="D88" s="4" t="n">
        <v>1.55</v>
      </c>
      <c r="E88" s="4" t="n">
        <v>0.6</v>
      </c>
      <c r="F88" s="4">
        <f>ROUND((D88+E88)*1.1,2)</f>
        <v/>
      </c>
    </row>
    <row r="89">
      <c r="A89" s="4" t="inlineStr">
        <is>
          <t>L2-2</t>
        </is>
      </c>
      <c r="B89" s="4" t="inlineStr">
        <is>
          <t>器具間</t>
        </is>
      </c>
      <c r="C89" s="4" t="inlineStr">
        <is>
          <t>VVF2.0-2C</t>
        </is>
      </c>
      <c r="D89" s="4" t="n">
        <v>0.9</v>
      </c>
      <c r="E89" s="4" t="n">
        <v>4.2</v>
      </c>
      <c r="F89" s="4">
        <f>ROUND((D89+E89)*1.1,2)</f>
        <v/>
      </c>
    </row>
    <row r="90">
      <c r="A90" s="4" t="inlineStr">
        <is>
          <t>L2-2</t>
        </is>
      </c>
      <c r="B90" s="4" t="inlineStr">
        <is>
          <t>ホームラン</t>
        </is>
      </c>
      <c r="C90" s="4" t="inlineStr">
        <is>
          <t>VVF2.0-2C</t>
        </is>
      </c>
      <c r="D90" s="4" t="n">
        <v>6.21</v>
      </c>
      <c r="E90" s="4" t="n">
        <v>2.7</v>
      </c>
      <c r="F90" s="4">
        <f>ROUND((D90+E90)*1.1,2)</f>
        <v/>
      </c>
    </row>
    <row r="91">
      <c r="A91" s="4" t="inlineStr">
        <is>
          <t>L2-3</t>
        </is>
      </c>
      <c r="B91" s="4" t="inlineStr">
        <is>
          <t>ホームラン</t>
        </is>
      </c>
      <c r="C91" s="4" t="inlineStr">
        <is>
          <t>VVF2.0-3C</t>
        </is>
      </c>
      <c r="D91" s="4" t="n">
        <v>8.380000000000001</v>
      </c>
      <c r="E91" s="4" t="n">
        <v>2.7</v>
      </c>
      <c r="F91" s="4">
        <f>ROUND((D91+E91)*1.1,2)</f>
        <v/>
      </c>
    </row>
    <row r="92">
      <c r="A92" s="4" t="inlineStr">
        <is>
          <t>L2-4</t>
        </is>
      </c>
      <c r="B92" s="4" t="inlineStr">
        <is>
          <t>ホームラン</t>
        </is>
      </c>
      <c r="C92" s="4" t="inlineStr">
        <is>
          <t>VVF2.0-3C</t>
        </is>
      </c>
      <c r="D92" s="4" t="n">
        <v>5.92</v>
      </c>
      <c r="E92" s="4" t="n">
        <v>2.7</v>
      </c>
      <c r="F92" s="4">
        <f>ROUND((D92+E92)*1.1,2)</f>
        <v/>
      </c>
    </row>
    <row r="93">
      <c r="A93" s="4" t="inlineStr">
        <is>
          <t>L2-5</t>
        </is>
      </c>
      <c r="B93" s="4" t="inlineStr">
        <is>
          <t>ホームラン</t>
        </is>
      </c>
      <c r="C93" s="4" t="inlineStr">
        <is>
          <t>VVF2.0-3C</t>
        </is>
      </c>
      <c r="D93" s="4" t="n">
        <v>3.98</v>
      </c>
      <c r="E93" s="4" t="n">
        <v>2.7</v>
      </c>
      <c r="F93" s="4">
        <f>ROUND((D93+E93)*1.1,2)</f>
        <v/>
      </c>
    </row>
    <row r="94">
      <c r="A94" s="4" t="inlineStr">
        <is>
          <t>L2-6</t>
        </is>
      </c>
      <c r="B94" s="4" t="inlineStr">
        <is>
          <t>ホームラン</t>
        </is>
      </c>
      <c r="C94" s="4" t="inlineStr">
        <is>
          <t>VVF2.0-3C</t>
        </is>
      </c>
      <c r="D94" s="4" t="n">
        <v>2.28</v>
      </c>
      <c r="E94" s="4" t="n">
        <v>2.7</v>
      </c>
      <c r="F94" s="4">
        <f>ROUND((D94+E94)*1.1,2)</f>
        <v/>
      </c>
    </row>
    <row r="95">
      <c r="A95" s="4" t="inlineStr">
        <is>
          <t>事務所 L-2</t>
        </is>
      </c>
      <c r="B95" s="4" t="inlineStr">
        <is>
          <t>幹線</t>
        </is>
      </c>
      <c r="C95" s="4" t="inlineStr">
        <is>
          <t>ニュースラットケーブル 8sq×3</t>
        </is>
      </c>
      <c r="D95" s="4" t="n">
        <v>5.75</v>
      </c>
      <c r="E95" s="4" t="n">
        <v>0.6</v>
      </c>
      <c r="F95" s="4">
        <f>ROUND((D95+E95)*1.1,2)</f>
        <v/>
      </c>
    </row>
    <row r="96">
      <c r="A96" s="4" t="inlineStr">
        <is>
          <t>店舗 L-1</t>
        </is>
      </c>
      <c r="B96" s="4" t="inlineStr">
        <is>
          <t>幹線</t>
        </is>
      </c>
      <c r="C96" s="4" t="inlineStr">
        <is>
          <t>ニュースラットケーブル 14sq×3</t>
        </is>
      </c>
      <c r="D96" s="4" t="n">
        <v>2.7</v>
      </c>
      <c r="E96" s="4" t="n">
        <v>0.6</v>
      </c>
      <c r="F96" s="4">
        <f>ROUND((D96+E96)*1.1,2)</f>
        <v/>
      </c>
    </row>
    <row r="97">
      <c r="A97" s="4" t="inlineStr">
        <is>
          <t>合計</t>
        </is>
      </c>
      <c r="B97" s="4" t="inlineStr"/>
      <c r="C97" s="4" t="inlineStr"/>
      <c r="D97" s="4">
        <f>SUM(D5:D96)</f>
        <v/>
      </c>
      <c r="E97" s="4">
        <f>SUM(E5:E96)</f>
        <v/>
      </c>
      <c r="F97" s="4">
        <f>SUM(F5:F96)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9" customWidth="1" min="1" max="1"/>
    <col width="34" customWidth="1" min="2" max="2"/>
    <col width="26" customWidth="1" min="3" max="3"/>
    <col width="16" customWidth="1" min="4" max="4"/>
    <col width="6" customWidth="1" min="5" max="5"/>
    <col width="10" customWidth="1" min="6" max="6"/>
    <col width="18" customWidth="1" min="7" max="7"/>
  </cols>
  <sheetData>
    <row r="1">
      <c r="A1" s="1" t="inlineStr">
        <is>
          <t>分電盤 回路表</t>
        </is>
      </c>
    </row>
    <row r="3">
      <c r="A3" s="6" t="inlineStr">
        <is>
          <t>店舗用分電盤 L-1　主幹 MCCB 3P 60AF/60AT　幹線 ニュースラットケーブル 14sq×3　1φ3W 100/200V</t>
        </is>
      </c>
    </row>
    <row r="4">
      <c r="A4" s="3" t="inlineStr">
        <is>
          <t>回路</t>
        </is>
      </c>
      <c r="B4" s="3" t="inlineStr">
        <is>
          <t>負荷名称</t>
        </is>
      </c>
      <c r="C4" s="3" t="inlineStr">
        <is>
          <t>遮断器</t>
        </is>
      </c>
      <c r="D4" s="3" t="inlineStr">
        <is>
          <t>電線</t>
        </is>
      </c>
      <c r="E4" s="3" t="inlineStr">
        <is>
          <t>相</t>
        </is>
      </c>
      <c r="F4" s="3" t="inlineStr">
        <is>
          <t>容量 VA</t>
        </is>
      </c>
      <c r="G4" s="3" t="inlineStr">
        <is>
          <t>備考</t>
        </is>
      </c>
    </row>
    <row r="5">
      <c r="A5" s="4" t="inlineStr">
        <is>
          <t>L1-1</t>
        </is>
      </c>
      <c r="B5" s="4" t="inlineStr">
        <is>
          <t>電灯（水回り：厨房・便所）</t>
        </is>
      </c>
      <c r="C5" s="4" t="inlineStr">
        <is>
          <t>ELB 2P2E 20AF/20AT 30mA</t>
        </is>
      </c>
      <c r="D5" s="4" t="inlineStr">
        <is>
          <t>VVF1.6-2C/3C</t>
        </is>
      </c>
      <c r="E5" s="4" t="inlineStr">
        <is>
          <t>R</t>
        </is>
      </c>
      <c r="F5" s="4" t="n">
        <v>152</v>
      </c>
      <c r="G5" s="4" t="inlineStr"/>
    </row>
    <row r="6">
      <c r="A6" s="4" t="inlineStr">
        <is>
          <t>L1-2</t>
        </is>
      </c>
      <c r="B6" s="4" t="inlineStr">
        <is>
          <t>電灯（客席・座敷・倉庫）</t>
        </is>
      </c>
      <c r="C6" s="4" t="inlineStr">
        <is>
          <t>MCB 2P1E 20AF/20AT</t>
        </is>
      </c>
      <c r="D6" s="4" t="inlineStr">
        <is>
          <t>VVF1.6-2C</t>
        </is>
      </c>
      <c r="E6" s="4" t="inlineStr">
        <is>
          <t>T</t>
        </is>
      </c>
      <c r="F6" s="4" t="n">
        <v>413</v>
      </c>
      <c r="G6" s="4" t="inlineStr"/>
    </row>
    <row r="7">
      <c r="A7" s="4" t="inlineStr">
        <is>
          <t>L1-3</t>
        </is>
      </c>
      <c r="B7" s="4" t="inlineStr">
        <is>
          <t>コンセント（客席 入口・カウンター）</t>
        </is>
      </c>
      <c r="C7" s="4" t="inlineStr">
        <is>
          <t>MCB 2P1E 20AF/20AT</t>
        </is>
      </c>
      <c r="D7" s="4" t="inlineStr">
        <is>
          <t>VVF2.0-2C</t>
        </is>
      </c>
      <c r="E7" s="4" t="inlineStr">
        <is>
          <t>R</t>
        </is>
      </c>
      <c r="F7" s="4" t="n">
        <v>600</v>
      </c>
      <c r="G7" s="4" t="inlineStr"/>
    </row>
    <row r="8">
      <c r="A8" s="4" t="inlineStr">
        <is>
          <t>L1-4</t>
        </is>
      </c>
      <c r="B8" s="4" t="inlineStr">
        <is>
          <t>コンセント（倉庫・座敷・ボックス席）</t>
        </is>
      </c>
      <c r="C8" s="4" t="inlineStr">
        <is>
          <t>MCB 2P1E 20AF/20AT</t>
        </is>
      </c>
      <c r="D8" s="4" t="inlineStr">
        <is>
          <t>VVF2.0-2C</t>
        </is>
      </c>
      <c r="E8" s="4" t="inlineStr">
        <is>
          <t>T</t>
        </is>
      </c>
      <c r="F8" s="4" t="n">
        <v>900</v>
      </c>
      <c r="G8" s="4" t="inlineStr"/>
    </row>
    <row r="9">
      <c r="A9" s="4" t="inlineStr">
        <is>
          <t>L1-5</t>
        </is>
      </c>
      <c r="B9" s="4" t="inlineStr">
        <is>
          <t>コンセント（厨房 一般）</t>
        </is>
      </c>
      <c r="C9" s="4" t="inlineStr">
        <is>
          <t>ELB 2P2E 20AF/20AT 30mA</t>
        </is>
      </c>
      <c r="D9" s="4" t="inlineStr">
        <is>
          <t>VVF2.0-3C</t>
        </is>
      </c>
      <c r="E9" s="4" t="inlineStr">
        <is>
          <t>R</t>
        </is>
      </c>
      <c r="F9" s="4" t="n">
        <v>300</v>
      </c>
      <c r="G9" s="4" t="inlineStr"/>
    </row>
    <row r="10">
      <c r="A10" s="4" t="inlineStr">
        <is>
          <t>L1-6</t>
        </is>
      </c>
      <c r="B10" s="4" t="inlineStr">
        <is>
          <t>コンセント（便所 温水洗浄便座）</t>
        </is>
      </c>
      <c r="C10" s="4" t="inlineStr">
        <is>
          <t>ELB 2P2E 20AF/20AT 30mA</t>
        </is>
      </c>
      <c r="D10" s="4" t="inlineStr">
        <is>
          <t>VVF2.0-3C</t>
        </is>
      </c>
      <c r="E10" s="4" t="inlineStr">
        <is>
          <t>T</t>
        </is>
      </c>
      <c r="F10" s="4" t="n">
        <v>1400</v>
      </c>
      <c r="G10" s="4" t="inlineStr">
        <is>
          <t>想定 700VA×2</t>
        </is>
      </c>
    </row>
    <row r="11">
      <c r="A11" s="4" t="inlineStr">
        <is>
          <t>L1-7</t>
        </is>
      </c>
      <c r="B11" s="4" t="inlineStr">
        <is>
          <t>厨房専用1 100V</t>
        </is>
      </c>
      <c r="C11" s="4" t="inlineStr">
        <is>
          <t>ELB 2P2E 20AF/20AT 30mA</t>
        </is>
      </c>
      <c r="D11" s="4" t="inlineStr">
        <is>
          <t>VVF2.0-3C</t>
        </is>
      </c>
      <c r="E11" s="4" t="inlineStr">
        <is>
          <t>R</t>
        </is>
      </c>
      <c r="F11" s="4" t="n">
        <v>1500</v>
      </c>
      <c r="G11" s="4" t="inlineStr">
        <is>
          <t>機器未定・想定</t>
        </is>
      </c>
    </row>
    <row r="12">
      <c r="A12" s="4" t="inlineStr">
        <is>
          <t>L1-8</t>
        </is>
      </c>
      <c r="B12" s="4" t="inlineStr">
        <is>
          <t>厨房専用2 100V</t>
        </is>
      </c>
      <c r="C12" s="4" t="inlineStr">
        <is>
          <t>ELB 2P2E 20AF/20AT 30mA</t>
        </is>
      </c>
      <c r="D12" s="4" t="inlineStr">
        <is>
          <t>VVF2.0-3C</t>
        </is>
      </c>
      <c r="E12" s="4" t="inlineStr">
        <is>
          <t>T</t>
        </is>
      </c>
      <c r="F12" s="4" t="n">
        <v>1500</v>
      </c>
      <c r="G12" s="4" t="inlineStr">
        <is>
          <t>機器未定・想定</t>
        </is>
      </c>
    </row>
    <row r="13">
      <c r="A13" s="4" t="inlineStr">
        <is>
          <t>L1-9</t>
        </is>
      </c>
      <c r="B13" s="4" t="inlineStr">
        <is>
          <t>厨房専用3 100V</t>
        </is>
      </c>
      <c r="C13" s="4" t="inlineStr">
        <is>
          <t>ELB 2P2E 20AF/20AT 30mA</t>
        </is>
      </c>
      <c r="D13" s="4" t="inlineStr">
        <is>
          <t>VVF2.0-3C</t>
        </is>
      </c>
      <c r="E13" s="4" t="inlineStr">
        <is>
          <t>R</t>
        </is>
      </c>
      <c r="F13" s="4" t="n">
        <v>1500</v>
      </c>
      <c r="G13" s="4" t="inlineStr">
        <is>
          <t>機器未定・想定</t>
        </is>
      </c>
    </row>
    <row r="14">
      <c r="A14" s="4" t="inlineStr">
        <is>
          <t>L1-10</t>
        </is>
      </c>
      <c r="B14" s="4" t="inlineStr">
        <is>
          <t>厨房専用4 200V</t>
        </is>
      </c>
      <c r="C14" s="4" t="inlineStr">
        <is>
          <t>ELB 2P2E 20AF/20AT 30mA</t>
        </is>
      </c>
      <c r="D14" s="4" t="inlineStr">
        <is>
          <t>VVF2.0-3C</t>
        </is>
      </c>
      <c r="E14" s="4" t="inlineStr">
        <is>
          <t>RT</t>
        </is>
      </c>
      <c r="F14" s="4" t="n">
        <v>2000</v>
      </c>
      <c r="G14" s="4" t="inlineStr">
        <is>
          <t>機器未定・想定</t>
        </is>
      </c>
    </row>
    <row r="15">
      <c r="A15" s="4" t="inlineStr">
        <is>
          <t>L1-11</t>
        </is>
      </c>
      <c r="B15" s="4" t="inlineStr">
        <is>
          <t>厨房専用5 200V</t>
        </is>
      </c>
      <c r="C15" s="4" t="inlineStr">
        <is>
          <t>ELB 2P2E 20AF/20AT 30mA</t>
        </is>
      </c>
      <c r="D15" s="4" t="inlineStr">
        <is>
          <t>VVF2.0-3C</t>
        </is>
      </c>
      <c r="E15" s="4" t="inlineStr">
        <is>
          <t>RT</t>
        </is>
      </c>
      <c r="F15" s="4" t="n">
        <v>2000</v>
      </c>
      <c r="G15" s="4" t="inlineStr">
        <is>
          <t>機器未定・想定</t>
        </is>
      </c>
    </row>
    <row r="16">
      <c r="A16" s="4" t="inlineStr">
        <is>
          <t>L1-12</t>
        </is>
      </c>
      <c r="B16" s="4" t="inlineStr">
        <is>
          <t>活イケス専用（屋外 防雨）</t>
        </is>
      </c>
      <c r="C16" s="4" t="inlineStr">
        <is>
          <t>ELB 2P2E 20AF/20AT 30mA</t>
        </is>
      </c>
      <c r="D16" s="4" t="inlineStr">
        <is>
          <t>VVF2.0-3C</t>
        </is>
      </c>
      <c r="E16" s="4" t="inlineStr">
        <is>
          <t>T</t>
        </is>
      </c>
      <c r="F16" s="4" t="n">
        <v>1000</v>
      </c>
      <c r="G16" s="4" t="inlineStr">
        <is>
          <t>想定</t>
        </is>
      </c>
    </row>
    <row r="17">
      <c r="A17" s="4" t="inlineStr">
        <is>
          <t>L1-13</t>
        </is>
      </c>
      <c r="B17" s="4" t="inlineStr">
        <is>
          <t>2階予備1</t>
        </is>
      </c>
      <c r="C17" s="4" t="inlineStr">
        <is>
          <t>MCB 2P2E 20AF/20AT</t>
        </is>
      </c>
      <c r="D17" s="4" t="inlineStr">
        <is>
          <t>VVF2.0-3C</t>
        </is>
      </c>
      <c r="E17" s="4" t="inlineStr">
        <is>
          <t>-</t>
        </is>
      </c>
      <c r="F17" s="4" t="n"/>
      <c r="G17" s="4" t="inlineStr">
        <is>
          <t>2階計画後に確定</t>
        </is>
      </c>
    </row>
    <row r="18">
      <c r="A18" s="4" t="inlineStr">
        <is>
          <t>L1-14</t>
        </is>
      </c>
      <c r="B18" s="4" t="inlineStr">
        <is>
          <t>2階予備2</t>
        </is>
      </c>
      <c r="C18" s="4" t="inlineStr">
        <is>
          <t>MCB 2P2E 20AF/20AT</t>
        </is>
      </c>
      <c r="D18" s="4" t="inlineStr">
        <is>
          <t>VVF2.0-3C</t>
        </is>
      </c>
      <c r="E18" s="4" t="inlineStr">
        <is>
          <t>-</t>
        </is>
      </c>
      <c r="F18" s="4" t="n"/>
      <c r="G18" s="4" t="inlineStr">
        <is>
          <t>2階計画後に確定</t>
        </is>
      </c>
    </row>
    <row r="19">
      <c r="A19" s="4" t="inlineStr">
        <is>
          <t>L1-15</t>
        </is>
      </c>
      <c r="B19" s="4" t="inlineStr">
        <is>
          <t>2階予備3</t>
        </is>
      </c>
      <c r="C19" s="4" t="inlineStr">
        <is>
          <t>MCB 2P2E 20AF/20AT</t>
        </is>
      </c>
      <c r="D19" s="4" t="inlineStr">
        <is>
          <t>VVF2.0-3C</t>
        </is>
      </c>
      <c r="E19" s="4" t="inlineStr">
        <is>
          <t>-</t>
        </is>
      </c>
      <c r="F19" s="4" t="n"/>
      <c r="G19" s="4" t="inlineStr">
        <is>
          <t>2階計画後に確定</t>
        </is>
      </c>
    </row>
    <row r="20">
      <c r="A20" s="4" t="inlineStr">
        <is>
          <t>L1-16</t>
        </is>
      </c>
      <c r="B20" s="4" t="inlineStr">
        <is>
          <t>2階予備4</t>
        </is>
      </c>
      <c r="C20" s="4" t="inlineStr">
        <is>
          <t>MCB 2P2E 20AF/20AT</t>
        </is>
      </c>
      <c r="D20" s="4" t="inlineStr">
        <is>
          <t>VVF2.0-3C</t>
        </is>
      </c>
      <c r="E20" s="4" t="inlineStr">
        <is>
          <t>-</t>
        </is>
      </c>
      <c r="F20" s="4" t="n"/>
      <c r="G20" s="4" t="inlineStr">
        <is>
          <t>2階計画後に確定</t>
        </is>
      </c>
    </row>
    <row r="21">
      <c r="A21" s="4" t="inlineStr">
        <is>
          <t>L1-17</t>
        </is>
      </c>
      <c r="B21" s="4" t="inlineStr">
        <is>
          <t>2階予備5</t>
        </is>
      </c>
      <c r="C21" s="4" t="inlineStr">
        <is>
          <t>MCB 2P2E 20AF/20AT</t>
        </is>
      </c>
      <c r="D21" s="4" t="inlineStr">
        <is>
          <t>VVF2.0-3C</t>
        </is>
      </c>
      <c r="E21" s="4" t="inlineStr">
        <is>
          <t>-</t>
        </is>
      </c>
      <c r="F21" s="4" t="n"/>
      <c r="G21" s="4" t="inlineStr">
        <is>
          <t>2階計画後に確定</t>
        </is>
      </c>
    </row>
    <row r="22">
      <c r="A22" s="4" t="inlineStr">
        <is>
          <t>L1-18</t>
        </is>
      </c>
      <c r="B22" s="4" t="inlineStr">
        <is>
          <t>2階予備6</t>
        </is>
      </c>
      <c r="C22" s="4" t="inlineStr">
        <is>
          <t>MCB 2P2E 20AF/20AT</t>
        </is>
      </c>
      <c r="D22" s="4" t="inlineStr">
        <is>
          <t>VVF2.0-3C</t>
        </is>
      </c>
      <c r="E22" s="4" t="inlineStr">
        <is>
          <t>-</t>
        </is>
      </c>
      <c r="F22" s="4" t="n"/>
      <c r="G22" s="4" t="inlineStr">
        <is>
          <t>2階計画後に確定</t>
        </is>
      </c>
    </row>
    <row r="23">
      <c r="A23" s="4" t="inlineStr">
        <is>
          <t>L1-19</t>
        </is>
      </c>
      <c r="B23" s="4" t="inlineStr">
        <is>
          <t>予備</t>
        </is>
      </c>
      <c r="C23" s="4" t="inlineStr">
        <is>
          <t>MCB 2P1E 20AF/20AT</t>
        </is>
      </c>
      <c r="D23" s="4" t="inlineStr">
        <is>
          <t>-</t>
        </is>
      </c>
      <c r="E23" s="4" t="inlineStr">
        <is>
          <t>-</t>
        </is>
      </c>
      <c r="F23" s="4" t="n"/>
      <c r="G23" s="4" t="inlineStr">
        <is>
          <t>スペース</t>
        </is>
      </c>
    </row>
    <row r="24">
      <c r="A24" s="4" t="inlineStr">
        <is>
          <t>L1-20</t>
        </is>
      </c>
      <c r="B24" s="4" t="inlineStr">
        <is>
          <t>予備</t>
        </is>
      </c>
      <c r="C24" s="4" t="inlineStr">
        <is>
          <t>MCB 2P1E 20AF/20AT</t>
        </is>
      </c>
      <c r="D24" s="4" t="inlineStr">
        <is>
          <t>-</t>
        </is>
      </c>
      <c r="E24" s="4" t="inlineStr">
        <is>
          <t>-</t>
        </is>
      </c>
      <c r="F24" s="4" t="n"/>
      <c r="G24" s="4" t="inlineStr">
        <is>
          <t>スペース</t>
        </is>
      </c>
    </row>
    <row r="25">
      <c r="A25" s="4" t="n"/>
      <c r="B25" s="4" t="inlineStr">
        <is>
          <t>合計</t>
        </is>
      </c>
      <c r="C25" s="4" t="n"/>
      <c r="D25" s="4" t="n"/>
      <c r="E25" s="4" t="n"/>
      <c r="F25" s="4">
        <f>SUM(F5:F24)</f>
        <v/>
      </c>
      <c r="G25" s="4" t="n"/>
    </row>
    <row r="26">
      <c r="B26" s="7" t="inlineStr">
        <is>
          <t>R相 6,052 VA / T相 7,213 VA　需要率 0.8 → 最大相電流 ≒ 58 A</t>
        </is>
      </c>
    </row>
    <row r="29">
      <c r="A29" s="6" t="inlineStr">
        <is>
          <t>事務所用分電盤 L-2　主幹 MCCB 3P 50AF/40AT　幹線 ニュースラットケーブル 8sq×3　1φ3W 100/200V</t>
        </is>
      </c>
    </row>
    <row r="30">
      <c r="A30" s="3" t="inlineStr">
        <is>
          <t>回路</t>
        </is>
      </c>
      <c r="B30" s="3" t="inlineStr">
        <is>
          <t>負荷名称</t>
        </is>
      </c>
      <c r="C30" s="3" t="inlineStr">
        <is>
          <t>遮断器</t>
        </is>
      </c>
      <c r="D30" s="3" t="inlineStr">
        <is>
          <t>電線</t>
        </is>
      </c>
      <c r="E30" s="3" t="inlineStr">
        <is>
          <t>相</t>
        </is>
      </c>
      <c r="F30" s="3" t="inlineStr">
        <is>
          <t>容量 VA</t>
        </is>
      </c>
      <c r="G30" s="3" t="inlineStr">
        <is>
          <t>備考</t>
        </is>
      </c>
    </row>
    <row r="31">
      <c r="A31" s="4" t="inlineStr">
        <is>
          <t>L2-1</t>
        </is>
      </c>
      <c r="B31" s="4" t="inlineStr">
        <is>
          <t>電灯（事務所）</t>
        </is>
      </c>
      <c r="C31" s="4" t="inlineStr">
        <is>
          <t>MCB 2P1E 20AF/20AT</t>
        </is>
      </c>
      <c r="D31" s="4" t="inlineStr">
        <is>
          <t>VVF1.6-2C</t>
        </is>
      </c>
      <c r="E31" s="4" t="inlineStr">
        <is>
          <t>R</t>
        </is>
      </c>
      <c r="F31" s="4" t="n">
        <v>270</v>
      </c>
      <c r="G31" s="4" t="inlineStr"/>
    </row>
    <row r="32">
      <c r="A32" s="4" t="inlineStr">
        <is>
          <t>L2-2</t>
        </is>
      </c>
      <c r="B32" s="4" t="inlineStr">
        <is>
          <t>コンセント（事務所 一般）</t>
        </is>
      </c>
      <c r="C32" s="4" t="inlineStr">
        <is>
          <t>MCB 2P1E 20AF/20AT</t>
        </is>
      </c>
      <c r="D32" s="4" t="inlineStr">
        <is>
          <t>VVF2.0-2C</t>
        </is>
      </c>
      <c r="E32" s="4" t="inlineStr">
        <is>
          <t>T</t>
        </is>
      </c>
      <c r="F32" s="4" t="n">
        <v>300</v>
      </c>
      <c r="G32" s="4" t="inlineStr"/>
    </row>
    <row r="33">
      <c r="A33" s="4" t="inlineStr">
        <is>
          <t>L2-3</t>
        </is>
      </c>
      <c r="B33" s="4" t="inlineStr">
        <is>
          <t>OA専用1</t>
        </is>
      </c>
      <c r="C33" s="4" t="inlineStr">
        <is>
          <t>MCB 2P1E 20AF/20AT</t>
        </is>
      </c>
      <c r="D33" s="4" t="inlineStr">
        <is>
          <t>VVF2.0-3C</t>
        </is>
      </c>
      <c r="E33" s="4" t="inlineStr">
        <is>
          <t>R</t>
        </is>
      </c>
      <c r="F33" s="4" t="n">
        <v>1200</v>
      </c>
      <c r="G33" s="4" t="inlineStr">
        <is>
          <t>想定</t>
        </is>
      </c>
    </row>
    <row r="34">
      <c r="A34" s="4" t="inlineStr">
        <is>
          <t>L2-4</t>
        </is>
      </c>
      <c r="B34" s="4" t="inlineStr">
        <is>
          <t>OA専用2</t>
        </is>
      </c>
      <c r="C34" s="4" t="inlineStr">
        <is>
          <t>MCB 2P1E 20AF/20AT</t>
        </is>
      </c>
      <c r="D34" s="4" t="inlineStr">
        <is>
          <t>VVF2.0-3C</t>
        </is>
      </c>
      <c r="E34" s="4" t="inlineStr">
        <is>
          <t>T</t>
        </is>
      </c>
      <c r="F34" s="4" t="n">
        <v>1200</v>
      </c>
      <c r="G34" s="4" t="inlineStr">
        <is>
          <t>想定</t>
        </is>
      </c>
    </row>
    <row r="35">
      <c r="A35" s="4" t="inlineStr">
        <is>
          <t>L2-5</t>
        </is>
      </c>
      <c r="B35" s="4" t="inlineStr">
        <is>
          <t>OA専用3</t>
        </is>
      </c>
      <c r="C35" s="4" t="inlineStr">
        <is>
          <t>MCB 2P1E 20AF/20AT</t>
        </is>
      </c>
      <c r="D35" s="4" t="inlineStr">
        <is>
          <t>VVF2.0-3C</t>
        </is>
      </c>
      <c r="E35" s="4" t="inlineStr">
        <is>
          <t>R</t>
        </is>
      </c>
      <c r="F35" s="4" t="n">
        <v>1200</v>
      </c>
      <c r="G35" s="4" t="inlineStr">
        <is>
          <t>想定</t>
        </is>
      </c>
    </row>
    <row r="36">
      <c r="A36" s="4" t="inlineStr">
        <is>
          <t>L2-6</t>
        </is>
      </c>
      <c r="B36" s="4" t="inlineStr">
        <is>
          <t>OA専用4</t>
        </is>
      </c>
      <c r="C36" s="4" t="inlineStr">
        <is>
          <t>MCB 2P1E 20AF/20AT</t>
        </is>
      </c>
      <c r="D36" s="4" t="inlineStr">
        <is>
          <t>VVF2.0-3C</t>
        </is>
      </c>
      <c r="E36" s="4" t="inlineStr">
        <is>
          <t>T</t>
        </is>
      </c>
      <c r="F36" s="4" t="n">
        <v>1200</v>
      </c>
      <c r="G36" s="4" t="inlineStr">
        <is>
          <t>想定</t>
        </is>
      </c>
    </row>
    <row r="37">
      <c r="A37" s="4" t="inlineStr">
        <is>
          <t>L2-7</t>
        </is>
      </c>
      <c r="B37" s="4" t="inlineStr">
        <is>
          <t>予備</t>
        </is>
      </c>
      <c r="C37" s="4" t="inlineStr">
        <is>
          <t>MCB 2P1E 20AF/20AT</t>
        </is>
      </c>
      <c r="D37" s="4" t="inlineStr">
        <is>
          <t>-</t>
        </is>
      </c>
      <c r="E37" s="4" t="inlineStr">
        <is>
          <t>-</t>
        </is>
      </c>
      <c r="F37" s="4" t="n"/>
      <c r="G37" s="4" t="inlineStr">
        <is>
          <t>スペース</t>
        </is>
      </c>
    </row>
    <row r="38">
      <c r="A38" s="4" t="inlineStr">
        <is>
          <t>L2-8</t>
        </is>
      </c>
      <c r="B38" s="4" t="inlineStr">
        <is>
          <t>予備</t>
        </is>
      </c>
      <c r="C38" s="4" t="inlineStr">
        <is>
          <t>MCB 2P1E 20AF/20AT</t>
        </is>
      </c>
      <c r="D38" s="4" t="inlineStr">
        <is>
          <t>-</t>
        </is>
      </c>
      <c r="E38" s="4" t="inlineStr">
        <is>
          <t>-</t>
        </is>
      </c>
      <c r="F38" s="4" t="n"/>
      <c r="G38" s="4" t="inlineStr">
        <is>
          <t>スペース</t>
        </is>
      </c>
    </row>
    <row r="39">
      <c r="A39" s="4" t="n"/>
      <c r="B39" s="4" t="inlineStr">
        <is>
          <t>合計</t>
        </is>
      </c>
      <c r="C39" s="4" t="n"/>
      <c r="D39" s="4" t="n"/>
      <c r="E39" s="4" t="n"/>
      <c r="F39" s="4">
        <f>SUM(F31:F38)</f>
        <v/>
      </c>
      <c r="G39" s="4" t="n"/>
    </row>
    <row r="40">
      <c r="B40" s="7" t="inlineStr">
        <is>
          <t>R相 2,670 VA / T相 2,700 VA　需要率 0.8 → 最大相電流 ≒ 22 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9" customWidth="1" min="4" max="4"/>
    <col width="14" customWidth="1" min="5" max="5"/>
    <col width="10" customWidth="1" min="6" max="6"/>
    <col width="9" customWidth="1" min="7" max="7"/>
    <col width="40" customWidth="1" min="8" max="8"/>
    <col width="10" customWidth="1" min="9" max="9"/>
    <col width="9" customWidth="1" min="10" max="10"/>
    <col width="9" customWidth="1" min="11" max="11"/>
    <col width="11" customWidth="1" min="12" max="12"/>
    <col width="10" customWidth="1" min="13" max="13"/>
    <col width="10" customWidth="1" min="14" max="14"/>
    <col width="11" customWidth="1" min="15" max="15"/>
  </cols>
  <sheetData>
    <row r="1">
      <c r="A1" s="1" t="inlineStr">
        <is>
          <t>照度計算書（光束法）　N = E × A ／（F × U × M）</t>
        </is>
      </c>
    </row>
    <row r="2">
      <c r="A2" s="2" t="inlineStr">
        <is>
          <t>天井高 2.4m。照明率は反射率 70/50/10 の一般値（器具決定後にメーカー照明率表で確認）</t>
        </is>
      </c>
    </row>
    <row r="4" ht="32" customHeight="1">
      <c r="A4" s="3" t="inlineStr">
        <is>
          <t>室名</t>
        </is>
      </c>
      <c r="B4" s="3" t="inlineStr">
        <is>
          <t>間口 m</t>
        </is>
      </c>
      <c r="C4" s="3" t="inlineStr">
        <is>
          <t>奥行 m</t>
        </is>
      </c>
      <c r="D4" s="3" t="inlineStr">
        <is>
          <t>面積 ㎡</t>
        </is>
      </c>
      <c r="E4" s="3" t="inlineStr">
        <is>
          <t>基準面</t>
        </is>
      </c>
      <c r="F4" s="3" t="inlineStr">
        <is>
          <t>光源高さ H m</t>
        </is>
      </c>
      <c r="G4" s="3" t="inlineStr">
        <is>
          <t>室指数 k</t>
        </is>
      </c>
      <c r="H4" s="3" t="inlineStr">
        <is>
          <t>器具</t>
        </is>
      </c>
      <c r="I4" s="3" t="inlineStr">
        <is>
          <t>光束 F lm</t>
        </is>
      </c>
      <c r="J4" s="3" t="inlineStr">
        <is>
          <t>照明率 U</t>
        </is>
      </c>
      <c r="K4" s="3" t="inlineStr">
        <is>
          <t>保守率 M</t>
        </is>
      </c>
      <c r="L4" s="3" t="inlineStr">
        <is>
          <t>設計照度 E lx</t>
        </is>
      </c>
      <c r="M4" s="3" t="inlineStr">
        <is>
          <t>必要台数</t>
        </is>
      </c>
      <c r="N4" s="3" t="inlineStr">
        <is>
          <t>設置台数</t>
        </is>
      </c>
      <c r="O4" s="3" t="inlineStr">
        <is>
          <t>計算照度 lx</t>
        </is>
      </c>
    </row>
    <row r="5">
      <c r="A5" s="4" t="inlineStr">
        <is>
          <t>座敷（客席）</t>
        </is>
      </c>
      <c r="B5" s="4" t="n">
        <v>5.88</v>
      </c>
      <c r="C5" s="4" t="n">
        <v>4.93</v>
      </c>
      <c r="D5" s="4" t="n">
        <v>28.98</v>
      </c>
      <c r="E5" s="4" t="inlineStr">
        <is>
          <t>床面</t>
        </is>
      </c>
      <c r="F5" s="4" t="n">
        <v>2.4</v>
      </c>
      <c r="G5" s="4">
        <f>ROUND(B5*C5/(F5*(B5+C5)),2)</f>
        <v/>
      </c>
      <c r="H5" s="4" t="inlineStr">
        <is>
          <t>LEDダウンライト φ100 埋込 1,000lm 電球色</t>
        </is>
      </c>
      <c r="I5" s="4" t="n">
        <v>1000</v>
      </c>
      <c r="J5" s="4" t="n">
        <v>0.6830000000000001</v>
      </c>
      <c r="K5" s="4" t="n">
        <v>0.77</v>
      </c>
      <c r="L5" s="4" t="n">
        <v>200</v>
      </c>
      <c r="M5" s="4">
        <f>ROUND(L5*D5/(I5*J5*K5),2)</f>
        <v/>
      </c>
      <c r="N5" s="4" t="n">
        <v>12</v>
      </c>
      <c r="O5" s="4">
        <f>ROUND(N5*I5*J5*K5/D5,0)</f>
        <v/>
      </c>
    </row>
    <row r="6">
      <c r="A6" s="4" t="inlineStr">
        <is>
          <t>客席（入口・レジ付近）</t>
        </is>
      </c>
      <c r="B6" s="4" t="n">
        <v>3.74</v>
      </c>
      <c r="C6" s="4" t="n">
        <v>5.43</v>
      </c>
      <c r="D6" s="4" t="n">
        <v>20.33</v>
      </c>
      <c r="E6" s="4" t="inlineStr">
        <is>
          <t>床面</t>
        </is>
      </c>
      <c r="F6" s="4" t="n">
        <v>2.4</v>
      </c>
      <c r="G6" s="4">
        <f>ROUND(B6*C6/(F6*(B6+C6)),2)</f>
        <v/>
      </c>
      <c r="H6" s="4" t="inlineStr">
        <is>
          <t>LEDダウンライト φ100 埋込 1,000lm 電球色</t>
        </is>
      </c>
      <c r="I6" s="4" t="n">
        <v>1000</v>
      </c>
      <c r="J6" s="4" t="n">
        <v>0.637</v>
      </c>
      <c r="K6" s="4" t="n">
        <v>0.77</v>
      </c>
      <c r="L6" s="4" t="n">
        <v>200</v>
      </c>
      <c r="M6" s="4">
        <f>ROUND(L6*D6/(I6*J6*K6),2)</f>
        <v/>
      </c>
      <c r="N6" s="4" t="n">
        <v>9</v>
      </c>
      <c r="O6" s="4">
        <f>ROUND(N6*I6*J6*K6/D6,0)</f>
        <v/>
      </c>
    </row>
    <row r="7">
      <c r="A7" s="4" t="inlineStr">
        <is>
          <t>客席（カウンター・通路）</t>
        </is>
      </c>
      <c r="B7" s="4" t="n">
        <v>5.88</v>
      </c>
      <c r="C7" s="4" t="n">
        <v>2.41</v>
      </c>
      <c r="D7" s="4" t="n">
        <v>18.42</v>
      </c>
      <c r="E7" s="4" t="inlineStr">
        <is>
          <t>床面</t>
        </is>
      </c>
      <c r="F7" s="4" t="n">
        <v>2.4</v>
      </c>
      <c r="G7" s="4">
        <f>ROUND(B7*C7/(F7*(B7+C7)),2)</f>
        <v/>
      </c>
      <c r="H7" s="4" t="inlineStr">
        <is>
          <t>LEDダウンライト φ100 埋込 1,000lm 電球色</t>
        </is>
      </c>
      <c r="I7" s="4" t="n">
        <v>1000</v>
      </c>
      <c r="J7" s="4" t="n">
        <v>0.569</v>
      </c>
      <c r="K7" s="4" t="n">
        <v>0.77</v>
      </c>
      <c r="L7" s="4" t="n">
        <v>200</v>
      </c>
      <c r="M7" s="4">
        <f>ROUND(L7*D7/(I7*J7*K7),2)</f>
        <v/>
      </c>
      <c r="N7" s="4" t="n">
        <v>9</v>
      </c>
      <c r="O7" s="4">
        <f>ROUND(N7*I7*J7*K7/D7,0)</f>
        <v/>
      </c>
    </row>
    <row r="8">
      <c r="A8" s="4" t="inlineStr">
        <is>
          <t>客席（ボックス席）</t>
        </is>
      </c>
      <c r="B8" s="4" t="n">
        <v>3.89</v>
      </c>
      <c r="C8" s="4" t="n">
        <v>4.89</v>
      </c>
      <c r="D8" s="4" t="n">
        <v>18.18</v>
      </c>
      <c r="E8" s="4" t="inlineStr">
        <is>
          <t>床面</t>
        </is>
      </c>
      <c r="F8" s="4" t="n">
        <v>2.4</v>
      </c>
      <c r="G8" s="4">
        <f>ROUND(B8*C8/(F8*(B8+C8)),2)</f>
        <v/>
      </c>
      <c r="H8" s="4" t="inlineStr">
        <is>
          <t>LEDダウンライト φ100 埋込 1,000lm 電球色</t>
        </is>
      </c>
      <c r="I8" s="4" t="n">
        <v>1000</v>
      </c>
      <c r="J8" s="4" t="n">
        <v>0.631</v>
      </c>
      <c r="K8" s="4" t="n">
        <v>0.77</v>
      </c>
      <c r="L8" s="4" t="n">
        <v>200</v>
      </c>
      <c r="M8" s="4">
        <f>ROUND(L8*D8/(I8*J8*K8),2)</f>
        <v/>
      </c>
      <c r="N8" s="4" t="n">
        <v>8</v>
      </c>
      <c r="O8" s="4">
        <f>ROUND(N8*I8*J8*K8/D8,0)</f>
        <v/>
      </c>
    </row>
    <row r="9">
      <c r="A9" s="4" t="inlineStr">
        <is>
          <t>便所（女子）</t>
        </is>
      </c>
      <c r="B9" s="4" t="n">
        <v>1.39</v>
      </c>
      <c r="C9" s="4" t="n">
        <v>0.85</v>
      </c>
      <c r="D9" s="4" t="n">
        <v>1.18</v>
      </c>
      <c r="E9" s="4" t="inlineStr">
        <is>
          <t>床面</t>
        </is>
      </c>
      <c r="F9" s="4" t="n">
        <v>2.4</v>
      </c>
      <c r="G9" s="4">
        <f>ROUND(B9*C9/(F9*(B9+C9)),2)</f>
        <v/>
      </c>
      <c r="H9" s="4" t="inlineStr">
        <is>
          <t>LEDダウンライト φ100 埋込 1,000lm 電球色</t>
        </is>
      </c>
      <c r="I9" s="4" t="n">
        <v>1000</v>
      </c>
      <c r="J9" s="4" t="n">
        <v>0.384</v>
      </c>
      <c r="K9" s="4" t="n">
        <v>0.77</v>
      </c>
      <c r="L9" s="4" t="n">
        <v>200</v>
      </c>
      <c r="M9" s="4">
        <f>ROUND(L9*D9/(I9*J9*K9),2)</f>
        <v/>
      </c>
      <c r="N9" s="4" t="n">
        <v>1</v>
      </c>
      <c r="O9" s="4">
        <f>ROUND(N9*I9*J9*K9/D9,0)</f>
        <v/>
      </c>
    </row>
    <row r="10">
      <c r="A10" s="4" t="inlineStr">
        <is>
          <t>便所（男子）</t>
        </is>
      </c>
      <c r="B10" s="4" t="n">
        <v>1.4</v>
      </c>
      <c r="C10" s="4" t="n">
        <v>0.85</v>
      </c>
      <c r="D10" s="4" t="n">
        <v>1.19</v>
      </c>
      <c r="E10" s="4" t="inlineStr">
        <is>
          <t>床面</t>
        </is>
      </c>
      <c r="F10" s="4" t="n">
        <v>2.4</v>
      </c>
      <c r="G10" s="5">
        <f>ROUND(B10*C10/(F10*(B10+C10)),2)</f>
        <v/>
      </c>
      <c r="H10" s="4" t="inlineStr">
        <is>
          <t>LEDダウンライト φ100 埋込 1,000lm 電球色</t>
        </is>
      </c>
      <c r="I10" s="4" t="n">
        <v>1000</v>
      </c>
      <c r="J10" s="4" t="n">
        <v>0.384</v>
      </c>
      <c r="K10" s="4" t="n">
        <v>0.77</v>
      </c>
      <c r="L10" s="4" t="n">
        <v>200</v>
      </c>
      <c r="M10" s="5">
        <f>ROUND(L10*D10/(I10*J10*K10),2)</f>
        <v/>
      </c>
      <c r="N10" s="4" t="n">
        <v>1</v>
      </c>
      <c r="O10" s="4">
        <f>ROUND(N10*I10*J10*K10/D10,0)</f>
        <v/>
      </c>
    </row>
    <row r="11">
      <c r="A11" s="4" t="inlineStr">
        <is>
          <t>厨房</t>
        </is>
      </c>
      <c r="B11" s="4" t="n">
        <v>5.88</v>
      </c>
      <c r="C11" s="4" t="n">
        <v>2.38</v>
      </c>
      <c r="D11" s="4" t="n">
        <v>13.99</v>
      </c>
      <c r="E11" s="4" t="inlineStr">
        <is>
          <t>作業面 FL+850</t>
        </is>
      </c>
      <c r="F11" s="4" t="n">
        <v>1.55</v>
      </c>
      <c r="G11" s="5">
        <f>ROUND(B11*C11/(F11*(B11+C11)),2)</f>
        <v/>
      </c>
      <c r="H11" s="5" t="inlineStr">
        <is>
          <t>LEDベースライト 40形 逆富士 直付 6,900lm 昼白色</t>
        </is>
      </c>
      <c r="I11" s="4" t="n">
        <v>6900</v>
      </c>
      <c r="J11" s="4" t="n">
        <v>0.599</v>
      </c>
      <c r="K11" s="4" t="n">
        <v>0.6899999999999999</v>
      </c>
      <c r="L11" s="4" t="n">
        <v>500</v>
      </c>
      <c r="M11" s="5">
        <f>ROUND(L11*D11/(I11*J11*K11),2)</f>
        <v/>
      </c>
      <c r="N11" s="4" t="n">
        <v>3</v>
      </c>
      <c r="O11" s="4">
        <f>ROUND(N11*I11*J11*K11/D11,0)</f>
        <v/>
      </c>
    </row>
    <row r="12">
      <c r="A12" s="4" t="inlineStr">
        <is>
          <t>倉庫</t>
        </is>
      </c>
      <c r="B12" s="4" t="n">
        <v>2.83</v>
      </c>
      <c r="C12" s="4" t="n">
        <v>5.4</v>
      </c>
      <c r="D12" s="4" t="n">
        <v>15.28</v>
      </c>
      <c r="E12" s="4" t="inlineStr">
        <is>
          <t>床面</t>
        </is>
      </c>
      <c r="F12" s="4" t="n">
        <v>2.4</v>
      </c>
      <c r="G12" s="5">
        <f>ROUND(B12*C12/(F12*(B12+C12)),2)</f>
        <v/>
      </c>
      <c r="H12" s="5" t="inlineStr">
        <is>
          <t>LEDベースライト 40形 逆富士 直付 6,900lm 昼白色</t>
        </is>
      </c>
      <c r="I12" s="4" t="n">
        <v>6900</v>
      </c>
      <c r="J12" s="4" t="n">
        <v>0.511</v>
      </c>
      <c r="K12" s="4" t="n">
        <v>0.77</v>
      </c>
      <c r="L12" s="4" t="n">
        <v>200</v>
      </c>
      <c r="M12" s="5">
        <f>ROUND(L12*D12/(I12*J12*K12),2)</f>
        <v/>
      </c>
      <c r="N12" s="4" t="n">
        <v>2</v>
      </c>
      <c r="O12" s="4">
        <f>ROUND(N12*I12*J12*K12/D12,0)</f>
        <v/>
      </c>
    </row>
    <row r="13">
      <c r="A13" s="4" t="inlineStr">
        <is>
          <t>事務所</t>
        </is>
      </c>
      <c r="B13" s="4" t="n">
        <v>3.89</v>
      </c>
      <c r="C13" s="4" t="n">
        <v>5.35</v>
      </c>
      <c r="D13" s="4" t="n">
        <v>20.81</v>
      </c>
      <c r="E13" s="4" t="inlineStr">
        <is>
          <t>作業面 FL+850</t>
        </is>
      </c>
      <c r="F13" s="4" t="n">
        <v>1.55</v>
      </c>
      <c r="G13" s="5">
        <f>ROUND(B13*C13/(F13*(B13+C13)),2)</f>
        <v/>
      </c>
      <c r="H13" s="5" t="inlineStr">
        <is>
          <t>LEDベースライト 40形 逆富士 直付 6,900lm 昼白色</t>
        </is>
      </c>
      <c r="I13" s="4" t="n">
        <v>6900</v>
      </c>
      <c r="J13" s="4" t="n">
        <v>0.662</v>
      </c>
      <c r="K13" s="4" t="n">
        <v>0.77</v>
      </c>
      <c r="L13" s="4" t="n">
        <v>750</v>
      </c>
      <c r="M13" s="5">
        <f>ROUND(L13*D13/(I13*J13*K13),2)</f>
        <v/>
      </c>
      <c r="N13" s="4" t="n">
        <v>6</v>
      </c>
      <c r="O13" s="4">
        <f>ROUND(N13*I13*J13*K13/D13,0)</f>
        <v/>
      </c>
    </row>
    <row r="15">
      <c r="A15" t="inlineStr">
        <is>
          <t>※ 室指数は主たる矩形の間口・奥行で算出。面積は不整形部分（カウンター通路の下駄箱前・階段前、ボックス席の格子部除外）を含む実面積。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2026-10-04T06:10:02Z</dcterms:created>
  <dcterms:modified xsi:type="dcterms:W3CDTF">2026-10-04T06:10:02Z</dcterms:modified>
</cp:coreProperties>
</file>